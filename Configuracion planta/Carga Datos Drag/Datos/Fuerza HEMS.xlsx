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iquel\Desktop\DISEÑOS JMAG\23-24\HEMS\CONTROL\"/>
    </mc:Choice>
  </mc:AlternateContent>
  <xr:revisionPtr revIDLastSave="0" documentId="8_{B0C9CA47-5438-494A-969F-1847D4A11C23}" xr6:coauthVersionLast="47" xr6:coauthVersionMax="47" xr10:uidLastSave="{00000000-0000-0000-0000-000000000000}"/>
  <bookViews>
    <workbookView xWindow="-108" yWindow="-108" windowWidth="23256" windowHeight="12456" tabRatio="586" activeTab="1" xr2:uid="{B9601AF9-7EC5-425D-8714-09471750DCAA}"/>
  </bookViews>
  <sheets>
    <sheet name="Fuerza&amp;Drag" sheetId="2" r:id="rId1"/>
    <sheet name="Drag&amp;Vertical" sheetId="4" r:id="rId2"/>
    <sheet name="Predicts" sheetId="3" r:id="rId3"/>
    <sheet name="DRAG 600KMH" sheetId="6" r:id="rId4"/>
    <sheet name="FuerzaHE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4" l="1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34" i="4"/>
  <c r="B37" i="4"/>
  <c r="W27" i="2"/>
  <c r="W28" i="2"/>
  <c r="Z28" i="2" s="1"/>
  <c r="W29" i="2"/>
  <c r="Z29" i="2" s="1"/>
  <c r="W30" i="2"/>
  <c r="Z30" i="2" s="1"/>
  <c r="W31" i="2"/>
  <c r="Z31" i="2" s="1"/>
  <c r="W32" i="2"/>
  <c r="Z32" i="2" s="1"/>
  <c r="W33" i="2"/>
  <c r="Z33" i="2" s="1"/>
  <c r="W34" i="2"/>
  <c r="W35" i="2"/>
  <c r="W36" i="2"/>
  <c r="W37" i="2"/>
  <c r="W26" i="2"/>
  <c r="X27" i="2"/>
  <c r="X28" i="2"/>
  <c r="X29" i="2"/>
  <c r="X30" i="2"/>
  <c r="X31" i="2"/>
  <c r="X32" i="2"/>
  <c r="X33" i="2"/>
  <c r="X34" i="2"/>
  <c r="X35" i="2"/>
  <c r="X36" i="2"/>
  <c r="X37" i="2"/>
  <c r="X26" i="2"/>
  <c r="X41" i="2"/>
  <c r="Z41" i="2" s="1"/>
  <c r="X42" i="2"/>
  <c r="Z42" i="2" s="1"/>
  <c r="X43" i="2"/>
  <c r="Z43" i="2" s="1"/>
  <c r="X44" i="2"/>
  <c r="Z44" i="2" s="1"/>
  <c r="X45" i="2"/>
  <c r="Z45" i="2" s="1"/>
  <c r="X46" i="2"/>
  <c r="Z46" i="2" s="1"/>
  <c r="X47" i="2"/>
  <c r="Z47" i="2" s="1"/>
  <c r="X48" i="2"/>
  <c r="Z48" i="2" s="1"/>
  <c r="X49" i="2"/>
  <c r="Z49" i="2" s="1"/>
  <c r="X50" i="2"/>
  <c r="Z50" i="2" s="1"/>
  <c r="X51" i="2"/>
  <c r="Z51" i="2" s="1"/>
  <c r="X40" i="2"/>
  <c r="Z40" i="2" s="1"/>
  <c r="J29" i="2"/>
  <c r="J30" i="2"/>
  <c r="J31" i="2"/>
  <c r="J32" i="2"/>
  <c r="J33" i="2"/>
  <c r="J34" i="2"/>
  <c r="Z27" i="2" l="1"/>
  <c r="Z26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Z35" i="2"/>
  <c r="Z37" i="2"/>
  <c r="Z36" i="2"/>
  <c r="Z34" i="2"/>
</calcChain>
</file>

<file path=xl/sharedStrings.xml><?xml version="1.0" encoding="utf-8"?>
<sst xmlns="http://schemas.openxmlformats.org/spreadsheetml/2006/main" count="37" uniqueCount="21">
  <si>
    <t>Velocidad</t>
  </si>
  <si>
    <t>Airgap</t>
  </si>
  <si>
    <t>Corriente</t>
  </si>
  <si>
    <t>Fuerza Vertical</t>
  </si>
  <si>
    <t>Drag Force</t>
  </si>
  <si>
    <t>18 Aprox.</t>
  </si>
  <si>
    <t>Vertical</t>
  </si>
  <si>
    <t>Drag</t>
  </si>
  <si>
    <t>Fuerza</t>
  </si>
  <si>
    <t>Velocidad (km/h)</t>
  </si>
  <si>
    <t>Airgap (mm)</t>
  </si>
  <si>
    <t>Corriente (A)</t>
  </si>
  <si>
    <t>Fuerza (N)</t>
  </si>
  <si>
    <t>Drag (N)</t>
  </si>
  <si>
    <t>airgap</t>
  </si>
  <si>
    <t>velocidad</t>
  </si>
  <si>
    <t>Fuerza Drag</t>
  </si>
  <si>
    <t>Ω</t>
  </si>
  <si>
    <t>Air gap</t>
  </si>
  <si>
    <t>VERTICAL</t>
  </si>
  <si>
    <t>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</si>
</sst>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4" fontId="0" fillId="0" borderId="1" xfId="0" applyNumberFormat="1" applyBorder="1" applyAlignment="1">
      <alignment horizontal="center"/>
    </xf>
    <xf numFmtId="4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0" borderId="3" xfId="0" applyBorder="1" applyAlignment="1">
      <alignment horizontal="center"/>
    </xf>
    <xf numFmtId="2" fontId="0" fillId="0" borderId="0" xfId="0" applyNumberFormat="1"/>
    <xf numFmtId="0" fontId="0" fillId="3" borderId="1" xfId="0" applyFill="1" applyBorder="1"/>
    <xf numFmtId="2" fontId="0" fillId="0" borderId="1" xfId="0" applyNumberFormat="1" applyBorder="1"/>
    <xf numFmtId="2" fontId="0" fillId="3" borderId="1" xfId="0" applyNumberFormat="1" applyFill="1" applyBorder="1"/>
    <xf numFmtId="0" fontId="0" fillId="4" borderId="1" xfId="0" applyFill="1" applyBorder="1"/>
    <xf numFmtId="2" fontId="0" fillId="4" borderId="1" xfId="0" applyNumberFormat="1" applyFill="1" applyBorder="1"/>
    <xf numFmtId="0" fontId="0" fillId="0" borderId="4" xfId="0" applyBorder="1"/>
    <xf numFmtId="16" fontId="0" fillId="0" borderId="0" xfId="0" applyNumberFormat="1"/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0" fontId="1" fillId="0" borderId="7" xfId="0" applyFont="1" applyBorder="1" applyAlignment="1">
      <alignment horizontal="right" wrapText="1"/>
    </xf>
    <xf numFmtId="3" fontId="1" fillId="0" borderId="7" xfId="0" applyNumberFormat="1" applyFont="1" applyBorder="1" applyAlignment="1">
      <alignment horizontal="right" wrapText="1"/>
    </xf>
    <xf numFmtId="4" fontId="1" fillId="0" borderId="7" xfId="0" applyNumberFormat="1" applyFont="1" applyBorder="1" applyAlignment="1">
      <alignment horizontal="right" wrapText="1"/>
    </xf>
    <xf numFmtId="0" fontId="2" fillId="0" borderId="0" xfId="0" applyFont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Fuerza Vertical en función de la variación de velocidad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15,5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5648852412649988"/>
                  <c:y val="3.76764168694286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1216891586266077E-2"/>
                  <c:y val="0.111991949174825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14688337039174021"/>
                  <c:y val="1.79687970389026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'Fuerza&amp;Drag'!$N$5:$N$17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'Fuerza&amp;Drag'!$Q$5:$Q$17</c:f>
              <c:numCache>
                <c:formatCode>General</c:formatCode>
                <c:ptCount val="13"/>
                <c:pt idx="0">
                  <c:v>621.16999999999996</c:v>
                </c:pt>
                <c:pt idx="1">
                  <c:v>593.23</c:v>
                </c:pt>
                <c:pt idx="2">
                  <c:v>578.74</c:v>
                </c:pt>
                <c:pt idx="3">
                  <c:v>565.30999999999995</c:v>
                </c:pt>
                <c:pt idx="4">
                  <c:v>552.66</c:v>
                </c:pt>
                <c:pt idx="5">
                  <c:v>540.59</c:v>
                </c:pt>
                <c:pt idx="6">
                  <c:v>529.08000000000004</c:v>
                </c:pt>
                <c:pt idx="7">
                  <c:v>518.01599999999996</c:v>
                </c:pt>
                <c:pt idx="8">
                  <c:v>507.39</c:v>
                </c:pt>
                <c:pt idx="9">
                  <c:v>497.11</c:v>
                </c:pt>
                <c:pt idx="10">
                  <c:v>487.18</c:v>
                </c:pt>
                <c:pt idx="11">
                  <c:v>477.55</c:v>
                </c:pt>
                <c:pt idx="12">
                  <c:v>468.21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68-43AF-A94F-71E7578E74D4}"/>
            </c:ext>
          </c:extLst>
        </c:ser>
        <c:ser>
          <c:idx val="2"/>
          <c:order val="1"/>
          <c:tx>
            <c:v>14,5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1.3885005105430804E-4"/>
                  <c:y val="-6.37839649473909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7.0289981224069181E-2"/>
                  <c:y val="0.270989086792808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'Fuerza&amp;Drag'!$N$5:$N$17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'Fuerza&amp;Drag'!$S$5:$S$17</c:f>
              <c:numCache>
                <c:formatCode>0.00</c:formatCode>
                <c:ptCount val="13"/>
                <c:pt idx="0" formatCode="General">
                  <c:v>677.83</c:v>
                </c:pt>
                <c:pt idx="1">
                  <c:v>648.16999999999996</c:v>
                </c:pt>
                <c:pt idx="2">
                  <c:v>631.82000000000005</c:v>
                </c:pt>
                <c:pt idx="3">
                  <c:v>616.71699999999998</c:v>
                </c:pt>
                <c:pt idx="4">
                  <c:v>602.5</c:v>
                </c:pt>
                <c:pt idx="5">
                  <c:v>588.91999999999996</c:v>
                </c:pt>
                <c:pt idx="6">
                  <c:v>575.91999999999996</c:v>
                </c:pt>
                <c:pt idx="7">
                  <c:v>563.46</c:v>
                </c:pt>
                <c:pt idx="8">
                  <c:v>551.46799999999996</c:v>
                </c:pt>
                <c:pt idx="9">
                  <c:v>544.70000000000005</c:v>
                </c:pt>
                <c:pt idx="10">
                  <c:v>539.91</c:v>
                </c:pt>
                <c:pt idx="11">
                  <c:v>528.75</c:v>
                </c:pt>
                <c:pt idx="12">
                  <c:v>517.94000000000005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68-43AF-A94F-71E7578E74D4}"/>
            </c:ext>
          </c:extLst>
        </c:ser>
        <c:ser>
          <c:idx val="0"/>
          <c:order val="2"/>
          <c:tx>
            <c:v>15 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9337164093419201"/>
                  <c:y val="-9.06859179471013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4.1632071002031176E-5"/>
                  <c:y val="5.43804156925095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'Fuerza&amp;Drag'!$N$6:$N$8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15</c:v>
                </c:pt>
              </c:numCache>
            </c:numRef>
          </c:xVal>
          <c:yVal>
            <c:numRef>
              <c:f>'Fuerza&amp;Drag'!$R$6:$R$8</c:f>
              <c:numCache>
                <c:formatCode>General</c:formatCode>
                <c:ptCount val="3"/>
                <c:pt idx="0">
                  <c:v>618.33000000000004</c:v>
                </c:pt>
                <c:pt idx="1">
                  <c:v>602.16</c:v>
                </c:pt>
                <c:pt idx="2">
                  <c:v>587.21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2C6-4B2A-A911-DF82D5F0B591}"/>
            </c:ext>
          </c:extLst>
        </c:ser>
        <c:ser>
          <c:idx val="3"/>
          <c:order val="3"/>
          <c:tx>
            <c:v>14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127931347147438"/>
                  <c:y val="-7.62110249743263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6.2185975704927988E-2"/>
                  <c:y val="-0.140748675711239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18549909218702E-4"/>
                  <c:y val="-0.171882327417672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'Fuerza&amp;Drag'!$N$10:$N$13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</c:numCache>
            </c:numRef>
          </c:xVal>
          <c:yVal>
            <c:numRef>
              <c:f>'Fuerza&amp;Drag'!$T$10:$T$13</c:f>
              <c:numCache>
                <c:formatCode>General</c:formatCode>
                <c:ptCount val="4"/>
                <c:pt idx="0">
                  <c:v>610</c:v>
                </c:pt>
                <c:pt idx="1">
                  <c:v>595.42999999999995</c:v>
                </c:pt>
                <c:pt idx="2">
                  <c:v>581.46</c:v>
                </c:pt>
                <c:pt idx="3">
                  <c:v>568.08000000000004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2C6-4B2A-A911-DF82D5F0B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71007"/>
        <c:axId val="1632604143"/>
      </c:scatterChart>
      <c:valAx>
        <c:axId val="8677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Velocidad</a:t>
                </a:r>
                <a:r>
                  <a:rPr lang="es-ES" baseline="0"/>
                  <a:t> (km/h)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2604143"/>
        <c:crosses val="autoZero"/>
        <c:crossBetween val="midCat"/>
      </c:valAx>
      <c:valAx>
        <c:axId val="163260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Fuerza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77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Tendencia 0A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'Fuerza&amp;Drag'!$C$7:$C$18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</c:numCache>
            </c:numRef>
          </c:xVal>
          <c:yVal>
            <c:numRef>
              <c:f>'Fuerza&amp;Drag'!$D$23:$D$34</c:f>
              <c:numCache>
                <c:formatCode>#,##0.00</c:formatCode>
                <c:ptCount val="12"/>
                <c:pt idx="0">
                  <c:v>10.606999999999999</c:v>
                </c:pt>
                <c:pt idx="1">
                  <c:v>19.196300000000001</c:v>
                </c:pt>
                <c:pt idx="2">
                  <c:v>26.925650000000001</c:v>
                </c:pt>
                <c:pt idx="3">
                  <c:v>34.083599999999997</c:v>
                </c:pt>
                <c:pt idx="4">
                  <c:v>40.634999999999998</c:v>
                </c:pt>
                <c:pt idx="5">
                  <c:v>46.837699999999998</c:v>
                </c:pt>
                <c:pt idx="6">
                  <c:v>52.631</c:v>
                </c:pt>
                <c:pt idx="7">
                  <c:v>58.059370000000001</c:v>
                </c:pt>
                <c:pt idx="8">
                  <c:v>63.242800000000003</c:v>
                </c:pt>
                <c:pt idx="9">
                  <c:v>68.147400000000005</c:v>
                </c:pt>
                <c:pt idx="10">
                  <c:v>72.748000000000005</c:v>
                </c:pt>
                <c:pt idx="11">
                  <c:v>77.14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88-416D-9B8B-C61FA2B216FA}"/>
            </c:ext>
          </c:extLst>
        </c:ser>
        <c:ser>
          <c:idx val="1"/>
          <c:order val="1"/>
          <c:tx>
            <c:v>14.5 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'Fuerza&amp;Drag'!$C$38:$C$49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</c:numCache>
            </c:numRef>
          </c:xVal>
          <c:yVal>
            <c:numRef>
              <c:f>'Fuerza&amp;Drag'!$E$38:$E$49</c:f>
              <c:numCache>
                <c:formatCode>0.00</c:formatCode>
                <c:ptCount val="12"/>
                <c:pt idx="0">
                  <c:v>13</c:v>
                </c:pt>
                <c:pt idx="1">
                  <c:v>23.75</c:v>
                </c:pt>
                <c:pt idx="2">
                  <c:v>33.159999999999997</c:v>
                </c:pt>
                <c:pt idx="3">
                  <c:v>41.74</c:v>
                </c:pt>
                <c:pt idx="4">
                  <c:v>50</c:v>
                </c:pt>
                <c:pt idx="5">
                  <c:v>57</c:v>
                </c:pt>
                <c:pt idx="6">
                  <c:v>64</c:v>
                </c:pt>
                <c:pt idx="7">
                  <c:v>70.38</c:v>
                </c:pt>
                <c:pt idx="8">
                  <c:v>76.456999999999994</c:v>
                </c:pt>
                <c:pt idx="9">
                  <c:v>82.21</c:v>
                </c:pt>
                <c:pt idx="10">
                  <c:v>87.61</c:v>
                </c:pt>
                <c:pt idx="11">
                  <c:v>92.778999999999996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27-45DF-BBA8-DC97B9602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71007"/>
        <c:axId val="1632604143"/>
      </c:scatterChart>
      <c:valAx>
        <c:axId val="8677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2604143"/>
        <c:crosses val="autoZero"/>
        <c:crossBetween val="midCat"/>
      </c:valAx>
      <c:valAx>
        <c:axId val="163260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77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agv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025478340884003"/>
                  <c:y val="-0.290366360454943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'Fuerza&amp;Drag'!$M$25:$M$28</c:f>
              <c:numCache>
                <c:formatCode>General</c:formatCode>
                <c:ptCount val="4"/>
                <c:pt idx="0">
                  <c:v>0.87129999999999996</c:v>
                </c:pt>
                <c:pt idx="1">
                  <c:v>6</c:v>
                </c:pt>
                <c:pt idx="2">
                  <c:v>15.205</c:v>
                </c:pt>
                <c:pt idx="3">
                  <c:v>23.105270000000001</c:v>
                </c:pt>
              </c:numCache>
            </c:numRef>
          </c:xVal>
          <c:yVal>
            <c:numRef>
              <c:f>'Fuerza&amp;Drag'!$L$25:$L$28</c:f>
              <c:numCache>
                <c:formatCode>General</c:formatCode>
                <c:ptCount val="4"/>
                <c:pt idx="0">
                  <c:v>15.5</c:v>
                </c:pt>
                <c:pt idx="1">
                  <c:v>15</c:v>
                </c:pt>
                <c:pt idx="2">
                  <c:v>14.5</c:v>
                </c:pt>
                <c:pt idx="3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DD-4D8F-B86B-7BBEBB097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853455"/>
        <c:axId val="1651138063"/>
      </c:scatterChart>
      <c:valAx>
        <c:axId val="140585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1138063"/>
        <c:crosses val="autoZero"/>
        <c:crossBetween val="midCat"/>
      </c:valAx>
      <c:valAx>
        <c:axId val="16511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585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16,5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'Drag&amp;Vertical'!$I$6:$I$18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'Drag&amp;Vertical'!$J$6:$J$18</c:f>
              <c:numCache>
                <c:formatCode>General</c:formatCode>
                <c:ptCount val="13"/>
                <c:pt idx="0">
                  <c:v>570.21</c:v>
                </c:pt>
                <c:pt idx="1">
                  <c:v>543.90599999999995</c:v>
                </c:pt>
                <c:pt idx="2">
                  <c:v>531</c:v>
                </c:pt>
                <c:pt idx="3">
                  <c:v>519</c:v>
                </c:pt>
                <c:pt idx="4">
                  <c:v>507.78</c:v>
                </c:pt>
                <c:pt idx="5">
                  <c:v>497.07</c:v>
                </c:pt>
                <c:pt idx="6">
                  <c:v>486.83</c:v>
                </c:pt>
                <c:pt idx="7">
                  <c:v>477</c:v>
                </c:pt>
                <c:pt idx="8">
                  <c:v>467.51799999999997</c:v>
                </c:pt>
                <c:pt idx="9">
                  <c:v>458.37</c:v>
                </c:pt>
                <c:pt idx="10">
                  <c:v>449.5</c:v>
                </c:pt>
                <c:pt idx="11">
                  <c:v>440.9</c:v>
                </c:pt>
                <c:pt idx="12">
                  <c:v>432.55500000000001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AF-4FD1-B851-87F0851771FA}"/>
            </c:ext>
          </c:extLst>
        </c:ser>
        <c:ser>
          <c:idx val="1"/>
          <c:order val="1"/>
          <c:tx>
            <c:v>16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'Drag&amp;Vertical'!$I$6:$I$18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'Drag&amp;Vertical'!$K$6:$K$18</c:f>
              <c:numCache>
                <c:formatCode>#,##0.00</c:formatCode>
                <c:ptCount val="13"/>
                <c:pt idx="0" formatCode="General">
                  <c:v>595</c:v>
                </c:pt>
                <c:pt idx="1">
                  <c:v>567.92000000000007</c:v>
                </c:pt>
                <c:pt idx="2">
                  <c:v>554.36</c:v>
                </c:pt>
                <c:pt idx="3">
                  <c:v>541.76649999999995</c:v>
                </c:pt>
                <c:pt idx="4">
                  <c:v>529.9</c:v>
                </c:pt>
                <c:pt idx="5">
                  <c:v>518.58500000000004</c:v>
                </c:pt>
                <c:pt idx="6">
                  <c:v>507.82000000000005</c:v>
                </c:pt>
                <c:pt idx="7">
                  <c:v>497.45399999999989</c:v>
                </c:pt>
                <c:pt idx="8">
                  <c:v>487.51099999999997</c:v>
                </c:pt>
                <c:pt idx="9">
                  <c:v>475.47499999999997</c:v>
                </c:pt>
                <c:pt idx="10">
                  <c:v>462.97500000000002</c:v>
                </c:pt>
                <c:pt idx="11">
                  <c:v>454.11</c:v>
                </c:pt>
                <c:pt idx="12">
                  <c:v>445.50499999999994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AF-4FD1-B851-87F0851771FA}"/>
            </c:ext>
          </c:extLst>
        </c:ser>
        <c:ser>
          <c:idx val="2"/>
          <c:order val="2"/>
          <c:tx>
            <c:v>15,5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'Drag&amp;Vertical'!$I$6:$I$18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'Drag&amp;Vertical'!$L$6:$L$18</c:f>
              <c:numCache>
                <c:formatCode>General</c:formatCode>
                <c:ptCount val="13"/>
                <c:pt idx="0">
                  <c:v>621.16999999999996</c:v>
                </c:pt>
                <c:pt idx="1">
                  <c:v>593.23</c:v>
                </c:pt>
                <c:pt idx="2">
                  <c:v>578.74</c:v>
                </c:pt>
                <c:pt idx="3">
                  <c:v>565.30999999999995</c:v>
                </c:pt>
                <c:pt idx="4">
                  <c:v>552.66</c:v>
                </c:pt>
                <c:pt idx="5">
                  <c:v>540.59</c:v>
                </c:pt>
                <c:pt idx="6">
                  <c:v>529.08000000000004</c:v>
                </c:pt>
                <c:pt idx="7">
                  <c:v>518.01599999999996</c:v>
                </c:pt>
                <c:pt idx="8">
                  <c:v>507.39</c:v>
                </c:pt>
                <c:pt idx="9">
                  <c:v>497.11</c:v>
                </c:pt>
                <c:pt idx="10">
                  <c:v>487.18</c:v>
                </c:pt>
                <c:pt idx="11">
                  <c:v>477.55</c:v>
                </c:pt>
                <c:pt idx="12">
                  <c:v>468.21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AF-4FD1-B851-87F0851771FA}"/>
            </c:ext>
          </c:extLst>
        </c:ser>
        <c:ser>
          <c:idx val="3"/>
          <c:order val="3"/>
          <c:tx>
            <c:v>15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'Drag&amp;Vertical'!$I$6:$I$18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'Drag&amp;Vertical'!$M$6:$M$18</c:f>
              <c:numCache>
                <c:formatCode>General</c:formatCode>
                <c:ptCount val="13"/>
                <c:pt idx="0">
                  <c:v>647.33000000000004</c:v>
                </c:pt>
                <c:pt idx="1">
                  <c:v>618.33000000000004</c:v>
                </c:pt>
                <c:pt idx="2">
                  <c:v>602.16</c:v>
                </c:pt>
                <c:pt idx="3">
                  <c:v>587.21</c:v>
                </c:pt>
                <c:pt idx="4">
                  <c:v>576.57599999999979</c:v>
                </c:pt>
                <c:pt idx="5">
                  <c:v>566.40249999999992</c:v>
                </c:pt>
                <c:pt idx="6">
                  <c:v>552.9224999999999</c:v>
                </c:pt>
                <c:pt idx="7">
                  <c:v>538.60749999999996</c:v>
                </c:pt>
                <c:pt idx="8">
                  <c:v>529.6099999999999</c:v>
                </c:pt>
                <c:pt idx="9">
                  <c:v>520.87499999999977</c:v>
                </c:pt>
                <c:pt idx="10">
                  <c:v>512.50749999999971</c:v>
                </c:pt>
                <c:pt idx="11">
                  <c:v>504.11249999999961</c:v>
                </c:pt>
                <c:pt idx="12">
                  <c:v>495.11249999999961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AF-4FD1-B851-87F0851771FA}"/>
            </c:ext>
          </c:extLst>
        </c:ser>
        <c:ser>
          <c:idx val="4"/>
          <c:order val="4"/>
          <c:tx>
            <c:v>14,5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'Drag&amp;Vertical'!$I$6:$I$18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'Drag&amp;Vertical'!$N$6:$N$18</c:f>
              <c:numCache>
                <c:formatCode>0.00</c:formatCode>
                <c:ptCount val="13"/>
                <c:pt idx="0" formatCode="General">
                  <c:v>677.83</c:v>
                </c:pt>
                <c:pt idx="1">
                  <c:v>648.16999999999996</c:v>
                </c:pt>
                <c:pt idx="2">
                  <c:v>631.82000000000005</c:v>
                </c:pt>
                <c:pt idx="3">
                  <c:v>616.71699999999998</c:v>
                </c:pt>
                <c:pt idx="4">
                  <c:v>602.5</c:v>
                </c:pt>
                <c:pt idx="5">
                  <c:v>588.91999999999996</c:v>
                </c:pt>
                <c:pt idx="6">
                  <c:v>575.91999999999996</c:v>
                </c:pt>
                <c:pt idx="7">
                  <c:v>563.46</c:v>
                </c:pt>
                <c:pt idx="8">
                  <c:v>551.46799999999996</c:v>
                </c:pt>
                <c:pt idx="9">
                  <c:v>544.70000000000005</c:v>
                </c:pt>
                <c:pt idx="10">
                  <c:v>539.91</c:v>
                </c:pt>
                <c:pt idx="11">
                  <c:v>528.75</c:v>
                </c:pt>
                <c:pt idx="12">
                  <c:v>517.94000000000005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AF-4FD1-B851-87F0851771FA}"/>
            </c:ext>
          </c:extLst>
        </c:ser>
        <c:ser>
          <c:idx val="5"/>
          <c:order val="5"/>
          <c:tx>
            <c:v>14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'Drag&amp;Vertical'!$I$6:$I$18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'Drag&amp;Vertical'!$O$6:$O$18</c:f>
              <c:numCache>
                <c:formatCode>#,##0.00</c:formatCode>
                <c:ptCount val="13"/>
                <c:pt idx="0">
                  <c:v>708.88800000000003</c:v>
                </c:pt>
                <c:pt idx="1">
                  <c:v>681.21800000000007</c:v>
                </c:pt>
                <c:pt idx="2">
                  <c:v>653.92799999999988</c:v>
                </c:pt>
                <c:pt idx="3">
                  <c:v>635.54100000000005</c:v>
                </c:pt>
                <c:pt idx="4">
                  <c:v>623</c:v>
                </c:pt>
                <c:pt idx="5" formatCode="General">
                  <c:v>610</c:v>
                </c:pt>
                <c:pt idx="6" formatCode="General">
                  <c:v>595.42999999999995</c:v>
                </c:pt>
                <c:pt idx="7" formatCode="General">
                  <c:v>581.46</c:v>
                </c:pt>
                <c:pt idx="8" formatCode="General">
                  <c:v>572.08000000000004</c:v>
                </c:pt>
                <c:pt idx="9" formatCode="0.00">
                  <c:v>562.70000000000005</c:v>
                </c:pt>
                <c:pt idx="10" formatCode="General">
                  <c:v>553.91</c:v>
                </c:pt>
                <c:pt idx="11" formatCode="General">
                  <c:v>542</c:v>
                </c:pt>
                <c:pt idx="12" formatCode="General">
                  <c:v>530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5AF-4FD1-B851-87F085177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452351"/>
        <c:axId val="938691343"/>
      </c:scatterChart>
      <c:valAx>
        <c:axId val="143245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8691343"/>
        <c:crosses val="autoZero"/>
        <c:crossBetween val="midCat"/>
      </c:valAx>
      <c:valAx>
        <c:axId val="93869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245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20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Vertical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'DRAG 600KMH'!$C$7:$C$20</c:f>
              <c:numCache>
                <c:formatCode>General</c:formatCode>
                <c:ptCount val="1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  <c:pt idx="8">
                  <c:v>350</c:v>
                </c:pt>
                <c:pt idx="9">
                  <c:v>400</c:v>
                </c:pt>
                <c:pt idx="10">
                  <c:v>450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</c:numCache>
            </c:numRef>
          </c:xVal>
          <c:yVal>
            <c:numRef>
              <c:f>'DRAG 600KMH'!$C$3:$P$3</c:f>
              <c:numCache>
                <c:formatCode>General</c:formatCode>
                <c:ptCount val="14"/>
                <c:pt idx="0">
                  <c:v>864.826083122</c:v>
                </c:pt>
                <c:pt idx="1">
                  <c:v>771.18471929099996</c:v>
                </c:pt>
                <c:pt idx="2">
                  <c:v>691.99901793699996</c:v>
                </c:pt>
                <c:pt idx="3">
                  <c:v>623.58498486799999</c:v>
                </c:pt>
                <c:pt idx="4">
                  <c:v>511.61769944700001</c:v>
                </c:pt>
                <c:pt idx="5">
                  <c:v>423.34673504099999</c:v>
                </c:pt>
                <c:pt idx="6">
                  <c:v>351.338765927</c:v>
                </c:pt>
                <c:pt idx="7">
                  <c:v>290.90920175100001</c:v>
                </c:pt>
                <c:pt idx="8">
                  <c:v>239.071877</c:v>
                </c:pt>
                <c:pt idx="9">
                  <c:v>193.970684772</c:v>
                </c:pt>
                <c:pt idx="10">
                  <c:v>154.32977680600001</c:v>
                </c:pt>
                <c:pt idx="11">
                  <c:v>119.039682885</c:v>
                </c:pt>
                <c:pt idx="12">
                  <c:v>87.510837828600003</c:v>
                </c:pt>
                <c:pt idx="13">
                  <c:v>59.057677075000001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02-4310-8517-4263E03D3E14}"/>
            </c:ext>
          </c:extLst>
        </c:ser>
        <c:ser>
          <c:idx val="1"/>
          <c:order val="1"/>
          <c:tx>
            <c:v>Drag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'DRAG 600KMH'!$C$7:$C$20</c:f>
              <c:numCache>
                <c:formatCode>General</c:formatCode>
                <c:ptCount val="1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  <c:pt idx="8">
                  <c:v>350</c:v>
                </c:pt>
                <c:pt idx="9">
                  <c:v>400</c:v>
                </c:pt>
                <c:pt idx="10">
                  <c:v>450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</c:numCache>
            </c:numRef>
          </c:xVal>
          <c:yVal>
            <c:numRef>
              <c:f>'DRAG 600KMH'!$C$5:$P$5</c:f>
              <c:numCache>
                <c:formatCode>General</c:formatCode>
                <c:ptCount val="14"/>
                <c:pt idx="0">
                  <c:v>79.934176066600003</c:v>
                </c:pt>
                <c:pt idx="1">
                  <c:v>131.756994948</c:v>
                </c:pt>
                <c:pt idx="2">
                  <c:v>169.69833040899999</c:v>
                </c:pt>
                <c:pt idx="3">
                  <c:v>198.35363031399999</c:v>
                </c:pt>
                <c:pt idx="4">
                  <c:v>238.25766615399999</c:v>
                </c:pt>
                <c:pt idx="5">
                  <c:v>264.23228405600003</c:v>
                </c:pt>
                <c:pt idx="6">
                  <c:v>282.15333893899998</c:v>
                </c:pt>
                <c:pt idx="7">
                  <c:v>294.87595388199998</c:v>
                </c:pt>
                <c:pt idx="8">
                  <c:v>303.986247736</c:v>
                </c:pt>
                <c:pt idx="9">
                  <c:v>310.47098728399999</c:v>
                </c:pt>
                <c:pt idx="10">
                  <c:v>315.03531260800003</c:v>
                </c:pt>
                <c:pt idx="11">
                  <c:v>318.125722779</c:v>
                </c:pt>
                <c:pt idx="12">
                  <c:v>320.129228571</c:v>
                </c:pt>
                <c:pt idx="13">
                  <c:v>321.28163959900002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02-4310-8517-4263E03D3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156463"/>
        <c:axId val="1145862175"/>
      </c:scatterChart>
      <c:valAx>
        <c:axId val="130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5862175"/>
        <c:crosses val="autoZero"/>
        <c:crossBetween val="midCat"/>
      </c:valAx>
      <c:valAx>
        <c:axId val="114586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Vertical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'DRAG 600KMH'!$C$31:$C$44</c:f>
              <c:numCache>
                <c:formatCode>General</c:formatCode>
                <c:ptCount val="1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  <c:pt idx="8">
                  <c:v>350</c:v>
                </c:pt>
                <c:pt idx="9">
                  <c:v>400</c:v>
                </c:pt>
                <c:pt idx="10">
                  <c:v>450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</c:numCache>
            </c:numRef>
          </c:xVal>
          <c:yVal>
            <c:numRef>
              <c:f>'DRAG 600KMH'!$C$25:$P$25</c:f>
              <c:numCache>
                <c:formatCode>General</c:formatCode>
                <c:ptCount val="14"/>
                <c:pt idx="0">
                  <c:v>699.26349565500004</c:v>
                </c:pt>
                <c:pt idx="1">
                  <c:v>550.78516955999999</c:v>
                </c:pt>
                <c:pt idx="2">
                  <c:v>496.93046555799998</c:v>
                </c:pt>
                <c:pt idx="3">
                  <c:v>450.30996955900002</c:v>
                </c:pt>
                <c:pt idx="4">
                  <c:v>373.19905735600003</c:v>
                </c:pt>
                <c:pt idx="5">
                  <c:v>311.34693206499998</c:v>
                </c:pt>
                <c:pt idx="6">
                  <c:v>260.08892945899998</c:v>
                </c:pt>
                <c:pt idx="7">
                  <c:v>216.63712722899999</c:v>
                </c:pt>
                <c:pt idx="8">
                  <c:v>179.18238833199999</c:v>
                </c:pt>
                <c:pt idx="9">
                  <c:v>146.469503651</c:v>
                </c:pt>
                <c:pt idx="10">
                  <c:v>117.627657949</c:v>
                </c:pt>
                <c:pt idx="11">
                  <c:v>91.952106192499997</c:v>
                </c:pt>
                <c:pt idx="12">
                  <c:v>68.953154519400002</c:v>
                </c:pt>
                <c:pt idx="13">
                  <c:v>48.2219671772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13-4477-94C4-2BCA83A8508C}"/>
            </c:ext>
          </c:extLst>
        </c:ser>
        <c:ser>
          <c:idx val="1"/>
          <c:order val="1"/>
          <c:tx>
            <c:v>Drag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'DRAG 600KMH'!$C$31:$C$44</c:f>
              <c:numCache>
                <c:formatCode>General</c:formatCode>
                <c:ptCount val="1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  <c:pt idx="8">
                  <c:v>350</c:v>
                </c:pt>
                <c:pt idx="9">
                  <c:v>400</c:v>
                </c:pt>
                <c:pt idx="10">
                  <c:v>450</c:v>
                </c:pt>
                <c:pt idx="11">
                  <c:v>500</c:v>
                </c:pt>
                <c:pt idx="12">
                  <c:v>550</c:v>
                </c:pt>
                <c:pt idx="13">
                  <c:v>600</c:v>
                </c:pt>
              </c:numCache>
            </c:numRef>
          </c:xVal>
          <c:yVal>
            <c:numRef>
              <c:f>'DRAG 600KMH'!$C$27:$P$27</c:f>
              <c:numCache>
                <c:formatCode>General</c:formatCode>
                <c:ptCount val="14"/>
                <c:pt idx="0">
                  <c:v>0.25688186405000002</c:v>
                </c:pt>
                <c:pt idx="1">
                  <c:v>84.772645828199998</c:v>
                </c:pt>
                <c:pt idx="2">
                  <c:v>109.996953499</c:v>
                </c:pt>
                <c:pt idx="3">
                  <c:v>129.57319302299999</c:v>
                </c:pt>
                <c:pt idx="4">
                  <c:v>157.728739053</c:v>
                </c:pt>
                <c:pt idx="5">
                  <c:v>176.619225575</c:v>
                </c:pt>
                <c:pt idx="6">
                  <c:v>189.69633080599999</c:v>
                </c:pt>
                <c:pt idx="7">
                  <c:v>199.00979443</c:v>
                </c:pt>
                <c:pt idx="8">
                  <c:v>205.61927177699999</c:v>
                </c:pt>
                <c:pt idx="9">
                  <c:v>210.37663521900001</c:v>
                </c:pt>
                <c:pt idx="10">
                  <c:v>213.77751167</c:v>
                </c:pt>
                <c:pt idx="11">
                  <c:v>216.106013123</c:v>
                </c:pt>
                <c:pt idx="12">
                  <c:v>217.71545399600001</c:v>
                </c:pt>
                <c:pt idx="13">
                  <c:v>218.719132065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13-4477-94C4-2BCA83A85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706383"/>
        <c:axId val="1152981711"/>
      </c:scatterChart>
      <c:valAx>
        <c:axId val="159970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2981711"/>
        <c:crosses val="autoZero"/>
        <c:crossBetween val="midCat"/>
      </c:valAx>
      <c:valAx>
        <c:axId val="115298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970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136441</xdr:colOff>
      <xdr:row>1</xdr:row>
      <xdr:rowOff>15878</xdr:rowOff>
    </xdr:from>
    <xdr:to>
      <xdr:col>30</xdr:col>
      <xdr:colOff>658905</xdr:colOff>
      <xdr:row>23</xdr:row>
      <xdr:rowOff>23906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5E7C48-2A31-C56C-3CC7-EECC83AC6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1302</xdr:colOff>
      <xdr:row>35</xdr:row>
      <xdr:rowOff>148492</xdr:rowOff>
    </xdr:from>
    <xdr:to>
      <xdr:col>20</xdr:col>
      <xdr:colOff>627835</xdr:colOff>
      <xdr:row>54</xdr:row>
      <xdr:rowOff>31261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700962-BE9C-43B0-99EF-4F2D47253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492311</xdr:colOff>
      <xdr:row>17</xdr:row>
      <xdr:rowOff>177426</xdr:rowOff>
    </xdr:from>
    <xdr:to>
      <xdr:col>19</xdr:col>
      <xdr:colOff>290606</xdr:colOff>
      <xdr:row>33</xdr:row>
      <xdr:rowOff>53414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887C7C4-9796-B491-4DE7-4CD409061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777240</xdr:colOff>
      <xdr:row>3</xdr:row>
      <xdr:rowOff>3810</xdr:rowOff>
    </xdr:from>
    <xdr:to>
      <xdr:col>21</xdr:col>
      <xdr:colOff>594360</xdr:colOff>
      <xdr:row>18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DC2DFC-5FE3-5BC9-DE9C-02C23D0F5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784860</xdr:colOff>
      <xdr:row>5</xdr:row>
      <xdr:rowOff>179070</xdr:rowOff>
    </xdr:from>
    <xdr:to>
      <xdr:col>9</xdr:col>
      <xdr:colOff>601980</xdr:colOff>
      <xdr:row>20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B37544-B46C-D262-AA12-1BD58954B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</xdr:row>
      <xdr:rowOff>26670</xdr:rowOff>
    </xdr:from>
    <xdr:to>
      <xdr:col>9</xdr:col>
      <xdr:colOff>609600</xdr:colOff>
      <xdr:row>44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6D7E67-D842-8D24-7B5A-6FD7777D4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19A1-5364-4649-B4B0-DF97F0F1335A}">
  <dimension ref="A2:Z62"/>
  <sheetViews>
    <sheetView topLeftCell="A25" zoomScale="80" zoomScaleNormal="80" workbookViewId="0">
      <selection activeCell="V30" sqref="V30"/>
    </sheetView>
  </sheetViews>
  <sheetFormatPr baseColWidth="10" defaultRowHeight="14.4" x14ac:dyDescent="0.3"/>
  <cols>
    <col min="4" max="4" width="12.5546875" customWidth="1"/>
    <col min="5" max="5" width="13.6640625" customWidth="1"/>
  </cols>
  <sheetData>
    <row r="2" spans="1:20" x14ac:dyDescent="0.3">
      <c r="D2" s="17"/>
    </row>
    <row r="3" spans="1:20" x14ac:dyDescent="0.3">
      <c r="M3" s="34"/>
      <c r="N3" s="34"/>
      <c r="O3" s="36" t="s">
        <v>10</v>
      </c>
      <c r="P3" s="36"/>
      <c r="Q3" s="36"/>
      <c r="R3" s="36"/>
      <c r="S3" s="36"/>
      <c r="T3" s="36"/>
    </row>
    <row r="4" spans="1:20" x14ac:dyDescent="0.3">
      <c r="B4" s="33" t="s">
        <v>3</v>
      </c>
      <c r="C4" s="33"/>
      <c r="D4" s="36" t="s">
        <v>2</v>
      </c>
      <c r="E4" s="36"/>
      <c r="F4" s="36"/>
      <c r="G4" s="36"/>
      <c r="H4" s="36"/>
      <c r="I4" s="36"/>
      <c r="J4" s="36"/>
      <c r="M4" s="35"/>
      <c r="N4" s="35"/>
      <c r="O4" s="2">
        <v>16.5</v>
      </c>
      <c r="P4" s="2">
        <v>16</v>
      </c>
      <c r="Q4" s="2">
        <v>15.5</v>
      </c>
      <c r="R4" s="2">
        <v>15</v>
      </c>
      <c r="S4" s="2">
        <v>14.5</v>
      </c>
      <c r="T4" s="2">
        <v>14</v>
      </c>
    </row>
    <row r="5" spans="1:20" x14ac:dyDescent="0.3">
      <c r="B5" s="33"/>
      <c r="C5" s="33"/>
      <c r="D5" s="18"/>
      <c r="E5" s="18"/>
      <c r="F5" s="18"/>
      <c r="G5" s="18"/>
      <c r="H5" s="18"/>
      <c r="I5" s="18"/>
      <c r="J5" s="2"/>
      <c r="M5" s="37" t="s">
        <v>0</v>
      </c>
      <c r="N5" s="19">
        <v>0</v>
      </c>
      <c r="O5" s="2">
        <v>570.21</v>
      </c>
      <c r="P5" s="2">
        <v>595</v>
      </c>
      <c r="Q5" s="2">
        <v>621.16999999999996</v>
      </c>
      <c r="R5" s="2"/>
      <c r="S5" s="2">
        <v>677.83</v>
      </c>
      <c r="T5" s="1">
        <v>708.88800000000003</v>
      </c>
    </row>
    <row r="6" spans="1:20" x14ac:dyDescent="0.3">
      <c r="B6" s="33"/>
      <c r="C6" s="33"/>
      <c r="D6" s="3">
        <v>0</v>
      </c>
      <c r="E6" s="3">
        <v>2</v>
      </c>
      <c r="F6" s="3">
        <v>4</v>
      </c>
      <c r="G6" s="3">
        <v>6</v>
      </c>
      <c r="H6" s="3">
        <v>8</v>
      </c>
      <c r="I6" s="3">
        <v>10</v>
      </c>
      <c r="J6" s="2" t="s">
        <v>5</v>
      </c>
      <c r="M6" s="38"/>
      <c r="N6" s="9">
        <v>5</v>
      </c>
      <c r="O6" s="4">
        <v>543.90599999999995</v>
      </c>
      <c r="P6" s="4">
        <f>P5-X26+Z26/2</f>
        <v>567.92000000000007</v>
      </c>
      <c r="Q6" s="2">
        <v>593.23</v>
      </c>
      <c r="R6" s="2">
        <v>618.33000000000004</v>
      </c>
      <c r="S6" s="6">
        <v>648.16999999999996</v>
      </c>
      <c r="T6" s="1"/>
    </row>
    <row r="7" spans="1:20" x14ac:dyDescent="0.3">
      <c r="A7" s="5"/>
      <c r="B7" s="33" t="s">
        <v>0</v>
      </c>
      <c r="C7" s="1">
        <v>5</v>
      </c>
      <c r="D7" s="4">
        <v>543.90599999999995</v>
      </c>
      <c r="E7" s="4">
        <v>564.67600000000004</v>
      </c>
      <c r="F7" s="4">
        <v>585.39300000000003</v>
      </c>
      <c r="G7" s="4"/>
      <c r="H7" s="4"/>
      <c r="I7" s="4"/>
      <c r="J7" s="2"/>
      <c r="M7" s="38"/>
      <c r="N7" s="9">
        <v>10</v>
      </c>
      <c r="O7" s="4">
        <v>531</v>
      </c>
      <c r="P7" s="4">
        <f t="shared" ref="P7:P17" si="0">P6-X27+Z27/2</f>
        <v>554.36</v>
      </c>
      <c r="Q7" s="2">
        <v>578.74</v>
      </c>
      <c r="R7" s="2">
        <v>602.16</v>
      </c>
      <c r="S7" s="6">
        <v>631.82000000000005</v>
      </c>
      <c r="T7" s="1"/>
    </row>
    <row r="8" spans="1:20" x14ac:dyDescent="0.3">
      <c r="A8" s="5"/>
      <c r="B8" s="33"/>
      <c r="C8" s="1">
        <v>10</v>
      </c>
      <c r="D8" s="4">
        <v>531</v>
      </c>
      <c r="E8" s="4">
        <v>551.16800000000001</v>
      </c>
      <c r="F8" s="4">
        <v>571.25</v>
      </c>
      <c r="G8" s="4"/>
      <c r="H8" s="4"/>
      <c r="I8" s="4"/>
      <c r="J8" s="2"/>
      <c r="M8" s="38"/>
      <c r="N8" s="9">
        <v>15</v>
      </c>
      <c r="O8" s="4">
        <v>519</v>
      </c>
      <c r="P8" s="4">
        <f t="shared" si="0"/>
        <v>541.76649999999995</v>
      </c>
      <c r="Q8" s="2">
        <v>565.30999999999995</v>
      </c>
      <c r="R8" s="2">
        <v>587.21</v>
      </c>
      <c r="S8" s="6">
        <v>616.71699999999998</v>
      </c>
      <c r="T8" s="1"/>
    </row>
    <row r="9" spans="1:20" x14ac:dyDescent="0.3">
      <c r="A9" s="5"/>
      <c r="B9" s="33"/>
      <c r="C9" s="1">
        <v>15</v>
      </c>
      <c r="D9" s="4">
        <v>519</v>
      </c>
      <c r="E9" s="4">
        <v>538.67700000000002</v>
      </c>
      <c r="F9" s="4">
        <v>560.51</v>
      </c>
      <c r="G9" s="4"/>
      <c r="H9" s="4"/>
      <c r="I9" s="4"/>
      <c r="J9" s="2"/>
      <c r="M9" s="38"/>
      <c r="N9" s="9">
        <v>20</v>
      </c>
      <c r="O9" s="4">
        <v>507.78</v>
      </c>
      <c r="P9" s="4">
        <f t="shared" si="0"/>
        <v>529.9</v>
      </c>
      <c r="Q9" s="2">
        <v>552.66</v>
      </c>
      <c r="R9" s="2"/>
      <c r="S9" s="6">
        <v>602.5</v>
      </c>
      <c r="T9" s="1"/>
    </row>
    <row r="10" spans="1:20" x14ac:dyDescent="0.3">
      <c r="A10" s="5"/>
      <c r="B10" s="33"/>
      <c r="C10" s="1">
        <v>20</v>
      </c>
      <c r="D10" s="4">
        <v>507.78</v>
      </c>
      <c r="E10" s="4">
        <v>526.89499999999998</v>
      </c>
      <c r="F10" s="4">
        <v>549.6</v>
      </c>
      <c r="G10" s="4"/>
      <c r="H10" s="4"/>
      <c r="I10" s="4"/>
      <c r="J10" s="2"/>
      <c r="M10" s="38"/>
      <c r="N10" s="9">
        <v>25</v>
      </c>
      <c r="O10" s="4">
        <v>497.07</v>
      </c>
      <c r="P10" s="4">
        <f t="shared" si="0"/>
        <v>518.58500000000004</v>
      </c>
      <c r="Q10" s="2">
        <v>540.59</v>
      </c>
      <c r="R10" s="2"/>
      <c r="S10" s="6">
        <v>588.91999999999996</v>
      </c>
      <c r="T10" s="1">
        <v>610</v>
      </c>
    </row>
    <row r="11" spans="1:20" x14ac:dyDescent="0.3">
      <c r="A11" s="5"/>
      <c r="B11" s="33"/>
      <c r="C11" s="1">
        <v>25</v>
      </c>
      <c r="D11" s="4">
        <v>497.07</v>
      </c>
      <c r="E11" s="4">
        <v>515.64</v>
      </c>
      <c r="F11" s="4">
        <v>534.11</v>
      </c>
      <c r="G11" s="4"/>
      <c r="H11" s="4"/>
      <c r="I11" s="4"/>
      <c r="J11" s="2"/>
      <c r="M11" s="38"/>
      <c r="N11" s="9">
        <v>30</v>
      </c>
      <c r="O11" s="4">
        <v>486.83</v>
      </c>
      <c r="P11" s="4">
        <f t="shared" si="0"/>
        <v>507.82000000000005</v>
      </c>
      <c r="Q11" s="2">
        <v>529.08000000000004</v>
      </c>
      <c r="R11" s="2"/>
      <c r="S11" s="6">
        <v>575.91999999999996</v>
      </c>
      <c r="T11" s="1">
        <v>595.42999999999995</v>
      </c>
    </row>
    <row r="12" spans="1:20" x14ac:dyDescent="0.3">
      <c r="B12" s="33"/>
      <c r="C12" s="1">
        <v>30</v>
      </c>
      <c r="D12" s="4">
        <v>486.83</v>
      </c>
      <c r="E12" s="4">
        <v>504.86529999999999</v>
      </c>
      <c r="F12" s="4">
        <v>523</v>
      </c>
      <c r="G12" s="4"/>
      <c r="H12" s="4"/>
      <c r="I12" s="4">
        <v>576.27</v>
      </c>
      <c r="J12" s="2"/>
      <c r="M12" s="38"/>
      <c r="N12" s="9">
        <v>35</v>
      </c>
      <c r="O12" s="4">
        <v>477</v>
      </c>
      <c r="P12" s="4">
        <f t="shared" si="0"/>
        <v>497.45399999999989</v>
      </c>
      <c r="Q12" s="2">
        <v>518.01599999999996</v>
      </c>
      <c r="R12" s="2"/>
      <c r="S12" s="6">
        <v>563.46</v>
      </c>
      <c r="T12" s="1">
        <v>581.46</v>
      </c>
    </row>
    <row r="13" spans="1:20" x14ac:dyDescent="0.3">
      <c r="B13" s="33"/>
      <c r="C13" s="1">
        <v>35</v>
      </c>
      <c r="D13" s="4">
        <v>477</v>
      </c>
      <c r="E13" s="4">
        <v>494.52</v>
      </c>
      <c r="F13" s="4">
        <v>512.04999999999995</v>
      </c>
      <c r="G13" s="4"/>
      <c r="H13" s="4"/>
      <c r="I13" s="4">
        <v>563.94000000000005</v>
      </c>
      <c r="J13" s="6"/>
      <c r="M13" s="38"/>
      <c r="N13" s="9">
        <v>40</v>
      </c>
      <c r="O13" s="4">
        <v>467.51799999999997</v>
      </c>
      <c r="P13" s="4">
        <f t="shared" si="0"/>
        <v>487.51099999999997</v>
      </c>
      <c r="Q13" s="2">
        <v>507.39</v>
      </c>
      <c r="R13" s="2"/>
      <c r="S13" s="6">
        <v>551.46799999999996</v>
      </c>
      <c r="T13" s="1">
        <v>568.08000000000004</v>
      </c>
    </row>
    <row r="14" spans="1:20" x14ac:dyDescent="0.3">
      <c r="B14" s="33"/>
      <c r="C14" s="1">
        <v>40</v>
      </c>
      <c r="D14" s="4">
        <v>467.51799999999997</v>
      </c>
      <c r="E14" s="4">
        <v>484.56</v>
      </c>
      <c r="F14" s="4">
        <v>501.85199999999998</v>
      </c>
      <c r="G14" s="4"/>
      <c r="H14" s="4"/>
      <c r="I14" s="4">
        <v>552.04999999999995</v>
      </c>
      <c r="J14" s="6"/>
      <c r="M14" s="38"/>
      <c r="N14" s="9">
        <v>45</v>
      </c>
      <c r="O14" s="4">
        <v>458.37</v>
      </c>
      <c r="P14" s="4">
        <f t="shared" si="0"/>
        <v>475.47499999999997</v>
      </c>
      <c r="Q14" s="2">
        <v>497.11</v>
      </c>
      <c r="R14" s="2"/>
      <c r="S14" s="6">
        <v>544.70000000000005</v>
      </c>
      <c r="T14" s="1"/>
    </row>
    <row r="15" spans="1:20" x14ac:dyDescent="0.3">
      <c r="B15" s="33"/>
      <c r="C15" s="1">
        <v>45</v>
      </c>
      <c r="D15" s="4">
        <v>458.37</v>
      </c>
      <c r="E15" s="4">
        <v>474.95</v>
      </c>
      <c r="F15" s="4">
        <v>491.48</v>
      </c>
      <c r="G15" s="4"/>
      <c r="H15" s="4"/>
      <c r="I15" s="4">
        <v>540.57000000000005</v>
      </c>
      <c r="J15" s="6"/>
      <c r="M15" s="38"/>
      <c r="N15" s="9">
        <v>50</v>
      </c>
      <c r="O15" s="4">
        <v>449.5</v>
      </c>
      <c r="P15" s="4">
        <f t="shared" si="0"/>
        <v>462.97500000000002</v>
      </c>
      <c r="Q15" s="2">
        <v>487.18</v>
      </c>
      <c r="R15" s="2"/>
      <c r="S15" s="6">
        <v>539.91</v>
      </c>
      <c r="T15" s="1"/>
    </row>
    <row r="16" spans="1:20" x14ac:dyDescent="0.3">
      <c r="B16" s="33"/>
      <c r="C16" s="1">
        <v>50</v>
      </c>
      <c r="D16" s="4">
        <v>449.5</v>
      </c>
      <c r="E16" s="4">
        <v>465.63499999999999</v>
      </c>
      <c r="F16" s="4">
        <v>481.7</v>
      </c>
      <c r="G16" s="4"/>
      <c r="H16" s="4"/>
      <c r="I16" s="4">
        <v>529.44000000000005</v>
      </c>
      <c r="J16" s="6"/>
      <c r="M16" s="38"/>
      <c r="N16" s="9">
        <v>55</v>
      </c>
      <c r="O16" s="4">
        <v>440.9</v>
      </c>
      <c r="P16" s="4">
        <f t="shared" si="0"/>
        <v>454.11</v>
      </c>
      <c r="Q16" s="2">
        <v>477.55</v>
      </c>
      <c r="R16" s="2"/>
      <c r="S16" s="6">
        <v>528.75</v>
      </c>
      <c r="T16" s="1"/>
    </row>
    <row r="17" spans="1:26" x14ac:dyDescent="0.3">
      <c r="B17" s="33"/>
      <c r="C17" s="1">
        <v>55</v>
      </c>
      <c r="D17" s="4">
        <v>440.9</v>
      </c>
      <c r="E17" s="4">
        <v>456.61450000000002</v>
      </c>
      <c r="F17" s="4">
        <v>472.22</v>
      </c>
      <c r="G17" s="4"/>
      <c r="H17" s="4"/>
      <c r="I17" s="4">
        <v>518.65</v>
      </c>
      <c r="J17" s="6"/>
      <c r="K17" s="5"/>
      <c r="L17" s="5"/>
      <c r="M17" s="39"/>
      <c r="N17" s="9">
        <v>60</v>
      </c>
      <c r="O17" s="4">
        <v>432.55500000000001</v>
      </c>
      <c r="P17" s="4">
        <f t="shared" si="0"/>
        <v>445.50499999999994</v>
      </c>
      <c r="Q17" s="2">
        <v>468.21</v>
      </c>
      <c r="R17" s="2"/>
      <c r="S17" s="6">
        <v>517.94000000000005</v>
      </c>
      <c r="T17" s="1"/>
      <c r="U17" s="10"/>
    </row>
    <row r="18" spans="1:26" x14ac:dyDescent="0.3">
      <c r="B18" s="33"/>
      <c r="C18" s="1">
        <v>60</v>
      </c>
      <c r="D18" s="4">
        <v>432.55500000000001</v>
      </c>
      <c r="E18" s="4">
        <v>447.85</v>
      </c>
      <c r="F18" s="4">
        <v>463.02</v>
      </c>
      <c r="G18" s="4"/>
      <c r="H18" s="4"/>
      <c r="I18" s="4">
        <v>508.19</v>
      </c>
      <c r="J18" s="6"/>
      <c r="K18" s="5"/>
    </row>
    <row r="19" spans="1:26" x14ac:dyDescent="0.3">
      <c r="C19" s="16"/>
      <c r="D19" s="5"/>
      <c r="E19" s="5"/>
      <c r="F19" s="5"/>
      <c r="G19" s="5"/>
      <c r="H19" s="5"/>
      <c r="I19" s="5"/>
      <c r="J19" s="10"/>
    </row>
    <row r="20" spans="1:26" x14ac:dyDescent="0.3">
      <c r="F20" s="5"/>
      <c r="G20" s="5"/>
      <c r="H20" s="5"/>
      <c r="N20" s="21"/>
    </row>
    <row r="21" spans="1:26" x14ac:dyDescent="0.3">
      <c r="B21" s="33" t="s">
        <v>4</v>
      </c>
      <c r="C21" s="33"/>
      <c r="D21" s="36" t="s">
        <v>2</v>
      </c>
      <c r="E21" s="36"/>
      <c r="F21" s="36"/>
      <c r="G21" s="36"/>
      <c r="H21" s="36"/>
      <c r="I21" s="36"/>
      <c r="J21" s="36"/>
      <c r="N21" s="21"/>
    </row>
    <row r="22" spans="1:26" x14ac:dyDescent="0.3">
      <c r="B22" s="33"/>
      <c r="C22" s="33"/>
      <c r="D22" s="3">
        <v>0</v>
      </c>
      <c r="E22" s="3">
        <v>2</v>
      </c>
      <c r="F22" s="3">
        <v>4</v>
      </c>
      <c r="G22" s="3">
        <v>6</v>
      </c>
      <c r="H22" s="3">
        <v>8</v>
      </c>
      <c r="I22" s="3">
        <v>10</v>
      </c>
      <c r="J22" s="2" t="s">
        <v>5</v>
      </c>
      <c r="N22" s="20"/>
    </row>
    <row r="23" spans="1:26" x14ac:dyDescent="0.3">
      <c r="A23" s="5"/>
      <c r="B23" s="33" t="s">
        <v>0</v>
      </c>
      <c r="C23" s="1">
        <v>5</v>
      </c>
      <c r="D23" s="4">
        <v>10.606999999999999</v>
      </c>
      <c r="E23" s="4">
        <v>11.2258</v>
      </c>
      <c r="F23" s="4">
        <v>11.85</v>
      </c>
      <c r="G23" s="4">
        <v>12.488</v>
      </c>
      <c r="H23" s="4"/>
      <c r="I23" s="4"/>
      <c r="J23" s="2"/>
      <c r="N23" s="20"/>
    </row>
    <row r="24" spans="1:26" x14ac:dyDescent="0.3">
      <c r="A24" s="5"/>
      <c r="B24" s="33"/>
      <c r="C24" s="1">
        <v>10</v>
      </c>
      <c r="D24" s="4">
        <v>19.196300000000001</v>
      </c>
      <c r="E24" s="4">
        <v>20.314969999999999</v>
      </c>
      <c r="F24" s="4">
        <v>21.446000000000002</v>
      </c>
      <c r="G24" s="4">
        <v>22.59</v>
      </c>
      <c r="H24" s="4"/>
      <c r="I24" s="4"/>
      <c r="J24" s="2"/>
      <c r="K24" s="5"/>
      <c r="L24" s="1" t="s">
        <v>14</v>
      </c>
      <c r="M24" s="1" t="s">
        <v>15</v>
      </c>
      <c r="N24" s="20"/>
    </row>
    <row r="25" spans="1:26" x14ac:dyDescent="0.3">
      <c r="A25" s="5"/>
      <c r="B25" s="33"/>
      <c r="C25" s="1">
        <v>15</v>
      </c>
      <c r="D25" s="4">
        <v>26.925650000000001</v>
      </c>
      <c r="E25" s="4">
        <v>28.483699999999999</v>
      </c>
      <c r="F25" s="4">
        <v>29.15</v>
      </c>
      <c r="G25" s="4">
        <v>31.653600000000001</v>
      </c>
      <c r="H25" s="4"/>
      <c r="I25" s="4"/>
      <c r="J25" s="2"/>
      <c r="K25" s="5"/>
      <c r="L25" s="1">
        <v>15.5</v>
      </c>
      <c r="M25" s="1">
        <v>0.87129999999999996</v>
      </c>
    </row>
    <row r="26" spans="1:26" x14ac:dyDescent="0.3">
      <c r="A26" s="5"/>
      <c r="B26" s="33"/>
      <c r="C26" s="1">
        <v>20</v>
      </c>
      <c r="D26" s="4">
        <v>34.083599999999997</v>
      </c>
      <c r="E26" s="4">
        <v>36.042785500000001</v>
      </c>
      <c r="F26" s="4">
        <v>38.399000000000001</v>
      </c>
      <c r="G26" s="4">
        <v>40.018999999999998</v>
      </c>
      <c r="H26" s="4"/>
      <c r="I26" s="4"/>
      <c r="J26" s="2"/>
      <c r="K26" s="5"/>
      <c r="L26" s="1">
        <v>15</v>
      </c>
      <c r="M26" s="1">
        <v>6</v>
      </c>
      <c r="W26" s="10">
        <f t="shared" ref="W26:W37" si="1">S5-S6</f>
        <v>29.660000000000082</v>
      </c>
      <c r="X26">
        <f t="shared" ref="X26:X37" si="2">Q5-Q6</f>
        <v>27.939999999999941</v>
      </c>
      <c r="Z26" s="10">
        <f>W26-X26</f>
        <v>1.720000000000141</v>
      </c>
    </row>
    <row r="27" spans="1:26" x14ac:dyDescent="0.3">
      <c r="A27" s="5"/>
      <c r="B27" s="33"/>
      <c r="C27" s="1">
        <v>25</v>
      </c>
      <c r="D27" s="4">
        <v>40.634999999999998</v>
      </c>
      <c r="E27" s="4">
        <v>42.95478</v>
      </c>
      <c r="F27" s="4">
        <v>45.304699999999997</v>
      </c>
      <c r="G27" s="4">
        <v>47.677900000000001</v>
      </c>
      <c r="H27" s="4"/>
      <c r="I27" s="4"/>
      <c r="J27" s="2"/>
      <c r="L27" s="1">
        <v>14.5</v>
      </c>
      <c r="M27" s="1">
        <v>15.205</v>
      </c>
      <c r="W27" s="10">
        <f t="shared" si="1"/>
        <v>16.349999999999909</v>
      </c>
      <c r="X27">
        <f t="shared" si="2"/>
        <v>14.490000000000009</v>
      </c>
      <c r="Z27" s="10">
        <f t="shared" ref="Z27:Z37" si="3">W27-X27</f>
        <v>1.8599999999999</v>
      </c>
    </row>
    <row r="28" spans="1:26" x14ac:dyDescent="0.3">
      <c r="A28" s="5"/>
      <c r="B28" s="33"/>
      <c r="C28" s="1">
        <v>30</v>
      </c>
      <c r="D28" s="4">
        <v>46.837699999999998</v>
      </c>
      <c r="E28" s="4">
        <v>49.491300000000003</v>
      </c>
      <c r="F28" s="4"/>
      <c r="G28" s="4">
        <v>54.899549999999998</v>
      </c>
      <c r="H28" s="4"/>
      <c r="I28" s="4"/>
      <c r="J28" s="2"/>
      <c r="K28" s="5"/>
      <c r="L28" s="1">
        <v>14</v>
      </c>
      <c r="M28" s="1">
        <v>23.105270000000001</v>
      </c>
      <c r="W28" s="10">
        <f t="shared" si="1"/>
        <v>15.103000000000065</v>
      </c>
      <c r="X28">
        <f t="shared" si="2"/>
        <v>13.430000000000064</v>
      </c>
      <c r="Z28" s="10">
        <f t="shared" si="3"/>
        <v>1.6730000000000018</v>
      </c>
    </row>
    <row r="29" spans="1:26" x14ac:dyDescent="0.3">
      <c r="A29" s="5"/>
      <c r="B29" s="33"/>
      <c r="C29" s="1">
        <v>35</v>
      </c>
      <c r="D29" s="4">
        <v>52.631</v>
      </c>
      <c r="E29" s="4">
        <v>55.589300000000001</v>
      </c>
      <c r="F29" s="4">
        <v>58.605600000000003</v>
      </c>
      <c r="G29" s="4">
        <v>61.634999999999998</v>
      </c>
      <c r="H29" s="4">
        <v>64.701999999999998</v>
      </c>
      <c r="I29" s="4">
        <v>67.819888000000006</v>
      </c>
      <c r="J29" s="6">
        <f t="shared" ref="J29:J33" si="4">I29*2-H29</f>
        <v>70.937776000000014</v>
      </c>
      <c r="K29" s="5"/>
      <c r="W29" s="10">
        <f t="shared" si="1"/>
        <v>14.216999999999985</v>
      </c>
      <c r="X29">
        <f t="shared" si="2"/>
        <v>12.649999999999977</v>
      </c>
      <c r="Z29" s="10">
        <f t="shared" si="3"/>
        <v>1.5670000000000073</v>
      </c>
    </row>
    <row r="30" spans="1:26" x14ac:dyDescent="0.3">
      <c r="A30" s="5"/>
      <c r="B30" s="33"/>
      <c r="C30" s="1">
        <v>40</v>
      </c>
      <c r="D30" s="4">
        <v>58.059370000000001</v>
      </c>
      <c r="E30" s="4">
        <v>61.298999999999999</v>
      </c>
      <c r="F30" s="4">
        <v>64.603999999999999</v>
      </c>
      <c r="G30" s="4">
        <v>67.943799999999996</v>
      </c>
      <c r="H30" s="4">
        <v>71.306455</v>
      </c>
      <c r="I30" s="4">
        <v>74.724566999999993</v>
      </c>
      <c r="J30" s="6">
        <f t="shared" si="4"/>
        <v>78.142678999999987</v>
      </c>
      <c r="L30" s="5"/>
      <c r="W30" s="10">
        <f t="shared" si="1"/>
        <v>13.580000000000041</v>
      </c>
      <c r="X30">
        <f t="shared" si="2"/>
        <v>12.069999999999936</v>
      </c>
      <c r="Z30" s="10">
        <f t="shared" si="3"/>
        <v>1.5100000000001046</v>
      </c>
    </row>
    <row r="31" spans="1:26" x14ac:dyDescent="0.3">
      <c r="A31" s="5"/>
      <c r="B31" s="33"/>
      <c r="C31" s="1">
        <v>45</v>
      </c>
      <c r="D31" s="4">
        <v>63.242800000000003</v>
      </c>
      <c r="E31" s="4">
        <v>66.748440000000002</v>
      </c>
      <c r="F31" s="4">
        <v>70.317999999999998</v>
      </c>
      <c r="G31" s="4">
        <v>73.943600000000004</v>
      </c>
      <c r="H31" s="4">
        <v>77.585800000000006</v>
      </c>
      <c r="I31" s="4">
        <v>81.285499999999999</v>
      </c>
      <c r="J31" s="6">
        <f t="shared" si="4"/>
        <v>84.985199999999992</v>
      </c>
      <c r="K31" s="5"/>
      <c r="L31" s="5"/>
      <c r="W31" s="10">
        <f t="shared" si="1"/>
        <v>13</v>
      </c>
      <c r="X31">
        <f t="shared" si="2"/>
        <v>11.509999999999991</v>
      </c>
      <c r="Z31" s="10">
        <f t="shared" si="3"/>
        <v>1.4900000000000091</v>
      </c>
    </row>
    <row r="32" spans="1:26" x14ac:dyDescent="0.3">
      <c r="A32" s="5"/>
      <c r="B32" s="33"/>
      <c r="C32" s="1">
        <v>50</v>
      </c>
      <c r="D32" s="4">
        <v>68.147400000000005</v>
      </c>
      <c r="E32" s="4">
        <v>71.901799999999994</v>
      </c>
      <c r="F32" s="4">
        <v>75.725499999999997</v>
      </c>
      <c r="G32" s="4">
        <v>79.6143</v>
      </c>
      <c r="H32" s="4">
        <v>83.516400000000004</v>
      </c>
      <c r="I32" s="4">
        <v>87.471800000000002</v>
      </c>
      <c r="J32" s="6">
        <f t="shared" si="4"/>
        <v>91.427199999999999</v>
      </c>
      <c r="K32" s="5"/>
      <c r="L32" s="5"/>
      <c r="W32" s="10">
        <f t="shared" si="1"/>
        <v>12.459999999999923</v>
      </c>
      <c r="X32">
        <f t="shared" si="2"/>
        <v>11.064000000000078</v>
      </c>
      <c r="Z32" s="10">
        <f t="shared" si="3"/>
        <v>1.3959999999998445</v>
      </c>
    </row>
    <row r="33" spans="1:26" x14ac:dyDescent="0.3">
      <c r="A33" s="5"/>
      <c r="B33" s="33"/>
      <c r="C33" s="1">
        <v>55</v>
      </c>
      <c r="D33" s="4">
        <v>72.748000000000005</v>
      </c>
      <c r="E33" s="4">
        <v>76.738</v>
      </c>
      <c r="F33" s="4">
        <v>80.790000000000006</v>
      </c>
      <c r="G33" s="4">
        <v>84.924199999999999</v>
      </c>
      <c r="H33" s="4">
        <v>89.076999999999998</v>
      </c>
      <c r="I33" s="4">
        <v>93.284000000000006</v>
      </c>
      <c r="J33" s="6">
        <f t="shared" si="4"/>
        <v>97.491000000000014</v>
      </c>
      <c r="K33" s="5"/>
      <c r="L33" s="5"/>
      <c r="W33" s="10">
        <f t="shared" si="1"/>
        <v>11.992000000000075</v>
      </c>
      <c r="X33">
        <f t="shared" si="2"/>
        <v>10.625999999999976</v>
      </c>
      <c r="Z33" s="10">
        <f t="shared" si="3"/>
        <v>1.3660000000000991</v>
      </c>
    </row>
    <row r="34" spans="1:26" x14ac:dyDescent="0.3">
      <c r="A34" s="5"/>
      <c r="B34" s="33"/>
      <c r="C34" s="1">
        <v>60</v>
      </c>
      <c r="D34" s="4">
        <v>77.14</v>
      </c>
      <c r="E34" s="4">
        <v>81.355999999999995</v>
      </c>
      <c r="F34" s="4">
        <v>85.621600000000001</v>
      </c>
      <c r="G34" s="4">
        <v>89.974400000000003</v>
      </c>
      <c r="H34" s="4">
        <v>94.372</v>
      </c>
      <c r="I34" s="4">
        <v>98.8</v>
      </c>
      <c r="J34" s="6">
        <f>I34*2-H34</f>
        <v>103.22799999999999</v>
      </c>
      <c r="K34" s="5"/>
      <c r="L34" s="5"/>
      <c r="W34" s="10">
        <f t="shared" si="1"/>
        <v>6.7679999999999154</v>
      </c>
      <c r="X34">
        <f t="shared" si="2"/>
        <v>10.279999999999973</v>
      </c>
      <c r="Z34" s="10">
        <f t="shared" si="3"/>
        <v>-3.5120000000000573</v>
      </c>
    </row>
    <row r="35" spans="1:26" x14ac:dyDescent="0.3">
      <c r="D35" s="5"/>
      <c r="E35" s="5"/>
      <c r="F35" s="5"/>
      <c r="G35" s="5"/>
      <c r="H35" s="5"/>
      <c r="I35" s="5"/>
      <c r="W35" s="10">
        <f t="shared" si="1"/>
        <v>4.7900000000000773</v>
      </c>
      <c r="X35">
        <f t="shared" si="2"/>
        <v>9.9300000000000068</v>
      </c>
      <c r="Z35" s="10">
        <f t="shared" si="3"/>
        <v>-5.1399999999999295</v>
      </c>
    </row>
    <row r="36" spans="1:26" x14ac:dyDescent="0.3">
      <c r="W36" s="10">
        <f t="shared" si="1"/>
        <v>11.159999999999968</v>
      </c>
      <c r="X36">
        <f t="shared" si="2"/>
        <v>9.6299999999999955</v>
      </c>
      <c r="Z36" s="10">
        <f t="shared" si="3"/>
        <v>1.5299999999999727</v>
      </c>
    </row>
    <row r="37" spans="1:26" x14ac:dyDescent="0.3">
      <c r="B37" s="8"/>
      <c r="C37" s="8"/>
      <c r="D37" s="7" t="s">
        <v>6</v>
      </c>
      <c r="E37" s="7" t="s">
        <v>7</v>
      </c>
      <c r="F37" s="5"/>
      <c r="G37" s="5"/>
      <c r="W37" s="10">
        <f t="shared" si="1"/>
        <v>10.809999999999945</v>
      </c>
      <c r="X37">
        <f t="shared" si="2"/>
        <v>9.3400000000000318</v>
      </c>
      <c r="Z37" s="10">
        <f t="shared" si="3"/>
        <v>1.4699999999999136</v>
      </c>
    </row>
    <row r="38" spans="1:26" x14ac:dyDescent="0.3">
      <c r="B38" s="33" t="s">
        <v>0</v>
      </c>
      <c r="C38" s="9">
        <v>5</v>
      </c>
      <c r="D38" s="6">
        <v>648.16999999999996</v>
      </c>
      <c r="E38" s="6">
        <v>13</v>
      </c>
      <c r="F38" s="5"/>
      <c r="G38" s="5"/>
      <c r="H38" s="10"/>
    </row>
    <row r="39" spans="1:26" x14ac:dyDescent="0.3">
      <c r="B39" s="33"/>
      <c r="C39" s="9">
        <v>10</v>
      </c>
      <c r="D39" s="6">
        <v>631.82000000000005</v>
      </c>
      <c r="E39" s="6">
        <v>23.75</v>
      </c>
      <c r="G39" s="10"/>
      <c r="H39" s="10"/>
    </row>
    <row r="40" spans="1:26" x14ac:dyDescent="0.3">
      <c r="B40" s="33"/>
      <c r="C40" s="9">
        <v>15</v>
      </c>
      <c r="D40" s="6">
        <v>616.71699999999998</v>
      </c>
      <c r="E40" s="6">
        <v>33.159999999999997</v>
      </c>
      <c r="G40" s="10"/>
      <c r="H40" s="10"/>
      <c r="W40">
        <v>27.939999999999941</v>
      </c>
      <c r="X40" s="5">
        <f t="shared" ref="X40:X51" si="5">O5-O6</f>
        <v>26.304000000000087</v>
      </c>
      <c r="Z40" s="5">
        <f>W40-X40</f>
        <v>1.6359999999998536</v>
      </c>
    </row>
    <row r="41" spans="1:26" x14ac:dyDescent="0.3">
      <c r="B41" s="33"/>
      <c r="C41" s="9">
        <v>20</v>
      </c>
      <c r="D41" s="6">
        <v>602.5</v>
      </c>
      <c r="E41" s="6">
        <v>41.74</v>
      </c>
      <c r="G41" s="10"/>
      <c r="H41" s="10"/>
      <c r="W41">
        <v>14.490000000000009</v>
      </c>
      <c r="X41" s="5">
        <f t="shared" si="5"/>
        <v>12.905999999999949</v>
      </c>
      <c r="Z41" s="5">
        <f t="shared" ref="Z41:Z51" si="6">W41-X41</f>
        <v>1.58400000000006</v>
      </c>
    </row>
    <row r="42" spans="1:26" x14ac:dyDescent="0.3">
      <c r="B42" s="33"/>
      <c r="C42" s="9">
        <v>25</v>
      </c>
      <c r="D42" s="6">
        <v>588.91999999999996</v>
      </c>
      <c r="E42" s="6">
        <v>50</v>
      </c>
      <c r="G42" s="10"/>
      <c r="H42" s="10"/>
      <c r="W42">
        <v>13.430000000000064</v>
      </c>
      <c r="X42" s="5">
        <f t="shared" si="5"/>
        <v>12</v>
      </c>
      <c r="Z42" s="5">
        <f t="shared" si="6"/>
        <v>1.4300000000000637</v>
      </c>
    </row>
    <row r="43" spans="1:26" x14ac:dyDescent="0.3">
      <c r="B43" s="33"/>
      <c r="C43" s="9">
        <v>30</v>
      </c>
      <c r="D43" s="6">
        <v>575.91999999999996</v>
      </c>
      <c r="E43" s="6">
        <v>57</v>
      </c>
      <c r="G43" s="10"/>
      <c r="H43" s="10"/>
      <c r="W43">
        <v>12.649999999999977</v>
      </c>
      <c r="X43" s="5">
        <f t="shared" si="5"/>
        <v>11.220000000000027</v>
      </c>
      <c r="Z43" s="5">
        <f t="shared" si="6"/>
        <v>1.42999999999995</v>
      </c>
    </row>
    <row r="44" spans="1:26" x14ac:dyDescent="0.3">
      <c r="B44" s="33"/>
      <c r="C44" s="9">
        <v>35</v>
      </c>
      <c r="D44" s="6">
        <v>563.46</v>
      </c>
      <c r="E44" s="6">
        <v>64</v>
      </c>
      <c r="G44" s="10"/>
      <c r="H44" s="10"/>
      <c r="W44">
        <v>12.069999999999936</v>
      </c>
      <c r="X44" s="5">
        <f t="shared" si="5"/>
        <v>10.70999999999998</v>
      </c>
      <c r="Z44" s="5">
        <f t="shared" si="6"/>
        <v>1.3599999999999568</v>
      </c>
    </row>
    <row r="45" spans="1:26" x14ac:dyDescent="0.3">
      <c r="B45" s="33"/>
      <c r="C45" s="9">
        <v>40</v>
      </c>
      <c r="D45" s="6">
        <v>551.46799999999996</v>
      </c>
      <c r="E45" s="6">
        <v>70.38</v>
      </c>
      <c r="H45" s="10"/>
      <c r="W45">
        <v>11.509999999999991</v>
      </c>
      <c r="X45" s="5">
        <f t="shared" si="5"/>
        <v>10.240000000000009</v>
      </c>
      <c r="Z45" s="5">
        <f t="shared" si="6"/>
        <v>1.2699999999999818</v>
      </c>
    </row>
    <row r="46" spans="1:26" x14ac:dyDescent="0.3">
      <c r="B46" s="33"/>
      <c r="C46" s="9">
        <v>45</v>
      </c>
      <c r="D46" s="6">
        <v>544.70000000000005</v>
      </c>
      <c r="E46" s="6">
        <v>76.456999999999994</v>
      </c>
      <c r="H46" s="10"/>
      <c r="W46">
        <v>11.064000000000078</v>
      </c>
      <c r="X46" s="5">
        <f t="shared" si="5"/>
        <v>9.8299999999999841</v>
      </c>
      <c r="Z46" s="5">
        <f t="shared" si="6"/>
        <v>1.2340000000000941</v>
      </c>
    </row>
    <row r="47" spans="1:26" x14ac:dyDescent="0.3">
      <c r="B47" s="33"/>
      <c r="C47" s="9">
        <v>50</v>
      </c>
      <c r="D47" s="6">
        <v>539.91</v>
      </c>
      <c r="E47" s="6">
        <v>82.21</v>
      </c>
      <c r="H47" s="10"/>
      <c r="W47">
        <v>10.625999999999976</v>
      </c>
      <c r="X47" s="5">
        <f t="shared" si="5"/>
        <v>9.4820000000000277</v>
      </c>
      <c r="Z47" s="5">
        <f t="shared" si="6"/>
        <v>1.1439999999999486</v>
      </c>
    </row>
    <row r="48" spans="1:26" x14ac:dyDescent="0.3">
      <c r="B48" s="33"/>
      <c r="C48" s="9">
        <v>55</v>
      </c>
      <c r="D48" s="6">
        <v>528.75</v>
      </c>
      <c r="E48" s="6">
        <v>87.61</v>
      </c>
      <c r="H48" s="10"/>
      <c r="W48">
        <v>10.279999999999973</v>
      </c>
      <c r="X48" s="5">
        <f t="shared" si="5"/>
        <v>9.1479999999999677</v>
      </c>
      <c r="Z48" s="5">
        <f t="shared" si="6"/>
        <v>1.132000000000005</v>
      </c>
    </row>
    <row r="49" spans="2:26" x14ac:dyDescent="0.3">
      <c r="B49" s="33"/>
      <c r="C49" s="9">
        <v>60</v>
      </c>
      <c r="D49" s="6">
        <v>517.94000000000005</v>
      </c>
      <c r="E49" s="6">
        <v>92.778999999999996</v>
      </c>
      <c r="H49" s="10"/>
      <c r="W49">
        <v>9.9300000000000068</v>
      </c>
      <c r="X49" s="5">
        <f t="shared" si="5"/>
        <v>8.8700000000000045</v>
      </c>
      <c r="Z49" s="5">
        <f t="shared" si="6"/>
        <v>1.0600000000000023</v>
      </c>
    </row>
    <row r="50" spans="2:26" x14ac:dyDescent="0.3">
      <c r="W50">
        <v>9.6299999999999955</v>
      </c>
      <c r="X50" s="5">
        <f t="shared" si="5"/>
        <v>8.6000000000000227</v>
      </c>
      <c r="Z50" s="5">
        <f t="shared" si="6"/>
        <v>1.0299999999999727</v>
      </c>
    </row>
    <row r="51" spans="2:26" x14ac:dyDescent="0.3">
      <c r="D51" s="20"/>
      <c r="W51">
        <v>9.3400000000000318</v>
      </c>
      <c r="X51" s="5">
        <f t="shared" si="5"/>
        <v>8.3449999999999704</v>
      </c>
      <c r="Z51" s="5">
        <f t="shared" si="6"/>
        <v>0.99500000000006139</v>
      </c>
    </row>
    <row r="52" spans="2:26" x14ac:dyDescent="0.3">
      <c r="D52" s="20"/>
    </row>
    <row r="53" spans="2:26" x14ac:dyDescent="0.3">
      <c r="D53" s="20"/>
    </row>
    <row r="54" spans="2:26" x14ac:dyDescent="0.3">
      <c r="D54" s="20"/>
    </row>
    <row r="55" spans="2:26" x14ac:dyDescent="0.3">
      <c r="D55" s="20"/>
    </row>
    <row r="56" spans="2:26" x14ac:dyDescent="0.3">
      <c r="D56" s="20"/>
    </row>
    <row r="57" spans="2:26" x14ac:dyDescent="0.3">
      <c r="D57" s="20"/>
    </row>
    <row r="58" spans="2:26" x14ac:dyDescent="0.3">
      <c r="D58" s="20"/>
    </row>
    <row r="59" spans="2:26" x14ac:dyDescent="0.3">
      <c r="D59" s="20"/>
    </row>
    <row r="60" spans="2:26" x14ac:dyDescent="0.3">
      <c r="D60" s="20"/>
    </row>
    <row r="61" spans="2:26" x14ac:dyDescent="0.3">
      <c r="D61" s="20"/>
    </row>
    <row r="62" spans="2:26" x14ac:dyDescent="0.3">
      <c r="D62" s="20"/>
    </row>
  </sheetData>
  <mergeCells count="10">
    <mergeCell ref="M3:N4"/>
    <mergeCell ref="D4:J4"/>
    <mergeCell ref="D21:J21"/>
    <mergeCell ref="M5:M17"/>
    <mergeCell ref="O3:T3"/>
    <mergeCell ref="B38:B49"/>
    <mergeCell ref="B7:B18"/>
    <mergeCell ref="B4:C6"/>
    <mergeCell ref="B21:C22"/>
    <mergeCell ref="B23:B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A564-78D5-40B5-BED7-4A2CAB5BDC87}">
  <dimension ref="A2:BJ43"/>
  <sheetViews>
    <sheetView tabSelected="1" zoomScale="80" zoomScaleNormal="80" workbookViewId="0">
      <selection activeCell="E20" sqref="E20"/>
    </sheetView>
  </sheetViews>
  <sheetFormatPr baseColWidth="10" defaultRowHeight="14.4" x14ac:dyDescent="0.3"/>
  <sheetData>
    <row r="2" spans="2:20" x14ac:dyDescent="0.3">
      <c r="L2" s="5"/>
    </row>
    <row r="4" spans="2:20" x14ac:dyDescent="0.3">
      <c r="B4" s="33" t="s">
        <v>16</v>
      </c>
      <c r="C4" s="33"/>
      <c r="D4" s="36" t="s">
        <v>10</v>
      </c>
      <c r="E4" s="36"/>
      <c r="F4" s="36"/>
      <c r="H4" s="33" t="s">
        <v>3</v>
      </c>
      <c r="I4" s="33"/>
      <c r="J4" s="36" t="s">
        <v>10</v>
      </c>
      <c r="K4" s="36"/>
      <c r="L4" s="36"/>
      <c r="M4" s="36"/>
      <c r="N4" s="36"/>
      <c r="O4" s="36"/>
    </row>
    <row r="5" spans="2:20" x14ac:dyDescent="0.3">
      <c r="B5" s="33"/>
      <c r="C5" s="33"/>
      <c r="D5" s="1">
        <v>16.5</v>
      </c>
      <c r="E5" s="1">
        <v>15.5</v>
      </c>
      <c r="F5" s="1">
        <v>14.5</v>
      </c>
      <c r="H5" s="33"/>
      <c r="I5" s="33"/>
      <c r="J5" s="2">
        <v>16.5</v>
      </c>
      <c r="K5" s="2">
        <v>16</v>
      </c>
      <c r="L5" s="2">
        <v>15.5</v>
      </c>
      <c r="M5" s="2">
        <v>15</v>
      </c>
      <c r="N5" s="2">
        <v>14.5</v>
      </c>
      <c r="O5" s="2">
        <v>14</v>
      </c>
    </row>
    <row r="6" spans="2:20" x14ac:dyDescent="0.3">
      <c r="B6" s="33" t="s">
        <v>0</v>
      </c>
      <c r="C6" s="1">
        <v>5</v>
      </c>
      <c r="D6" s="4">
        <v>10.606999999999999</v>
      </c>
      <c r="E6" s="1">
        <v>11.63</v>
      </c>
      <c r="F6" s="6">
        <v>13</v>
      </c>
      <c r="H6" s="33" t="s">
        <v>0</v>
      </c>
      <c r="I6" s="1">
        <v>0</v>
      </c>
      <c r="J6" s="7">
        <v>570.21</v>
      </c>
      <c r="K6" s="7">
        <v>595</v>
      </c>
      <c r="L6" s="7">
        <v>621.16999999999996</v>
      </c>
      <c r="M6" s="2">
        <v>647.33000000000004</v>
      </c>
      <c r="N6" s="7">
        <v>677.83</v>
      </c>
      <c r="O6" s="4">
        <v>708.88800000000003</v>
      </c>
      <c r="P6" s="5"/>
      <c r="Q6" s="5"/>
      <c r="T6" s="5"/>
    </row>
    <row r="7" spans="2:20" x14ac:dyDescent="0.3">
      <c r="B7" s="33"/>
      <c r="C7" s="1">
        <v>10</v>
      </c>
      <c r="D7" s="4">
        <v>19.196300000000001</v>
      </c>
      <c r="E7" s="1">
        <v>20.978000000000002</v>
      </c>
      <c r="F7" s="6">
        <v>23.75</v>
      </c>
      <c r="H7" s="33"/>
      <c r="I7" s="1">
        <v>5</v>
      </c>
      <c r="J7" s="7">
        <v>543.90599999999995</v>
      </c>
      <c r="K7" s="22">
        <v>567.92000000000007</v>
      </c>
      <c r="L7" s="7">
        <v>593.23</v>
      </c>
      <c r="M7" s="2">
        <v>618.33000000000004</v>
      </c>
      <c r="N7" s="23">
        <v>648.16999999999996</v>
      </c>
      <c r="O7" s="4">
        <v>681.21800000000007</v>
      </c>
      <c r="P7" s="5"/>
      <c r="Q7" s="5"/>
      <c r="T7" s="5"/>
    </row>
    <row r="8" spans="2:20" x14ac:dyDescent="0.3">
      <c r="B8" s="33"/>
      <c r="C8" s="1">
        <v>15</v>
      </c>
      <c r="D8" s="4">
        <v>26.925650000000001</v>
      </c>
      <c r="E8" s="1">
        <v>29.38</v>
      </c>
      <c r="F8" s="6">
        <v>33.159999999999997</v>
      </c>
      <c r="H8" s="33"/>
      <c r="I8" s="1">
        <v>10</v>
      </c>
      <c r="J8" s="7">
        <v>531</v>
      </c>
      <c r="K8" s="22">
        <v>554.36</v>
      </c>
      <c r="L8" s="7">
        <v>578.74</v>
      </c>
      <c r="M8" s="2">
        <v>602.16</v>
      </c>
      <c r="N8" s="23">
        <v>631.82000000000005</v>
      </c>
      <c r="O8" s="4">
        <v>653.92799999999988</v>
      </c>
      <c r="P8" s="5"/>
      <c r="Q8" s="5"/>
      <c r="T8" s="5"/>
    </row>
    <row r="9" spans="2:20" x14ac:dyDescent="0.3">
      <c r="B9" s="33"/>
      <c r="C9" s="1">
        <v>20</v>
      </c>
      <c r="D9" s="4">
        <v>34.083599999999997</v>
      </c>
      <c r="E9" s="1">
        <v>37.085000000000001</v>
      </c>
      <c r="F9" s="6">
        <v>41.74</v>
      </c>
      <c r="H9" s="33"/>
      <c r="I9" s="1">
        <v>15</v>
      </c>
      <c r="J9" s="7">
        <v>519</v>
      </c>
      <c r="K9" s="22">
        <v>541.76649999999995</v>
      </c>
      <c r="L9" s="7">
        <v>565.30999999999995</v>
      </c>
      <c r="M9" s="2">
        <v>587.21</v>
      </c>
      <c r="N9" s="23">
        <v>616.71699999999998</v>
      </c>
      <c r="O9" s="4">
        <v>635.54100000000005</v>
      </c>
      <c r="P9" s="5"/>
      <c r="Q9" s="5"/>
      <c r="T9" s="5"/>
    </row>
    <row r="10" spans="2:20" x14ac:dyDescent="0.3">
      <c r="B10" s="33"/>
      <c r="C10" s="1">
        <v>25</v>
      </c>
      <c r="D10" s="4">
        <v>40.634999999999998</v>
      </c>
      <c r="E10" s="1">
        <v>44.22</v>
      </c>
      <c r="F10" s="6">
        <v>50</v>
      </c>
      <c r="H10" s="33"/>
      <c r="I10" s="1">
        <v>20</v>
      </c>
      <c r="J10" s="7">
        <v>507.78</v>
      </c>
      <c r="K10" s="22">
        <v>529.9</v>
      </c>
      <c r="L10" s="7">
        <v>552.66</v>
      </c>
      <c r="M10" s="2">
        <v>576.57599999999979</v>
      </c>
      <c r="N10" s="23">
        <v>602.5</v>
      </c>
      <c r="O10" s="4">
        <v>623</v>
      </c>
      <c r="P10" s="5"/>
      <c r="Q10" s="5"/>
      <c r="T10" s="5"/>
    </row>
    <row r="11" spans="2:20" x14ac:dyDescent="0.3">
      <c r="B11" s="33"/>
      <c r="C11" s="1">
        <v>30</v>
      </c>
      <c r="D11" s="4">
        <v>46.837699999999998</v>
      </c>
      <c r="E11" s="1">
        <v>50.88</v>
      </c>
      <c r="F11" s="6">
        <v>57</v>
      </c>
      <c r="H11" s="33"/>
      <c r="I11" s="1">
        <v>25</v>
      </c>
      <c r="J11" s="7">
        <v>497.07</v>
      </c>
      <c r="K11" s="22">
        <v>518.58500000000004</v>
      </c>
      <c r="L11" s="7">
        <v>540.59</v>
      </c>
      <c r="M11" s="2">
        <v>566.40249999999992</v>
      </c>
      <c r="N11" s="23">
        <v>588.91999999999996</v>
      </c>
      <c r="O11" s="2">
        <v>610</v>
      </c>
      <c r="P11" s="5"/>
      <c r="Q11" s="5"/>
      <c r="T11" s="5"/>
    </row>
    <row r="12" spans="2:20" x14ac:dyDescent="0.3">
      <c r="B12" s="33"/>
      <c r="C12" s="1">
        <v>35</v>
      </c>
      <c r="D12" s="4">
        <v>52.631</v>
      </c>
      <c r="E12" s="1">
        <v>57.12</v>
      </c>
      <c r="F12" s="6">
        <v>64</v>
      </c>
      <c r="H12" s="33"/>
      <c r="I12" s="1">
        <v>30</v>
      </c>
      <c r="J12" s="7">
        <v>486.83</v>
      </c>
      <c r="K12" s="22">
        <v>507.82000000000005</v>
      </c>
      <c r="L12" s="7">
        <v>529.08000000000004</v>
      </c>
      <c r="M12" s="2">
        <v>552.9224999999999</v>
      </c>
      <c r="N12" s="23">
        <v>575.91999999999996</v>
      </c>
      <c r="O12" s="2">
        <v>595.42999999999995</v>
      </c>
      <c r="P12" s="5"/>
      <c r="Q12" s="5"/>
      <c r="T12" s="5"/>
    </row>
    <row r="13" spans="2:20" x14ac:dyDescent="0.3">
      <c r="B13" s="33"/>
      <c r="C13" s="1">
        <v>40</v>
      </c>
      <c r="D13" s="4">
        <v>58.059370000000001</v>
      </c>
      <c r="E13" s="1">
        <v>63</v>
      </c>
      <c r="F13" s="6">
        <v>70.38</v>
      </c>
      <c r="H13" s="33"/>
      <c r="I13" s="1">
        <v>35</v>
      </c>
      <c r="J13" s="7">
        <v>477</v>
      </c>
      <c r="K13" s="22">
        <v>497.45399999999989</v>
      </c>
      <c r="L13" s="7">
        <v>518.01599999999996</v>
      </c>
      <c r="M13" s="2">
        <v>538.60749999999996</v>
      </c>
      <c r="N13" s="23">
        <v>563.46</v>
      </c>
      <c r="O13" s="2">
        <v>581.46</v>
      </c>
      <c r="P13" s="5"/>
      <c r="Q13" s="5"/>
      <c r="T13" s="5"/>
    </row>
    <row r="14" spans="2:20" x14ac:dyDescent="0.3">
      <c r="B14" s="33"/>
      <c r="C14" s="1">
        <v>45</v>
      </c>
      <c r="D14" s="4">
        <v>63.242800000000003</v>
      </c>
      <c r="E14" s="1">
        <v>68.540000000000006</v>
      </c>
      <c r="F14" s="6">
        <v>76.456999999999994</v>
      </c>
      <c r="H14" s="33"/>
      <c r="I14" s="1">
        <v>40</v>
      </c>
      <c r="J14" s="7">
        <v>467.51799999999997</v>
      </c>
      <c r="K14" s="22">
        <v>487.51099999999997</v>
      </c>
      <c r="L14" s="7">
        <v>507.39</v>
      </c>
      <c r="M14" s="2">
        <v>529.6099999999999</v>
      </c>
      <c r="N14" s="23">
        <v>551.46799999999996</v>
      </c>
      <c r="O14" s="2">
        <v>572.08000000000004</v>
      </c>
      <c r="P14" s="5"/>
      <c r="Q14" s="5"/>
      <c r="T14" s="5"/>
    </row>
    <row r="15" spans="2:20" x14ac:dyDescent="0.3">
      <c r="B15" s="33"/>
      <c r="C15" s="1">
        <v>50</v>
      </c>
      <c r="D15" s="4">
        <v>68.147400000000005</v>
      </c>
      <c r="E15" s="1">
        <v>73.790000000000006</v>
      </c>
      <c r="F15" s="6">
        <v>82.21</v>
      </c>
      <c r="H15" s="33"/>
      <c r="I15" s="1">
        <v>45</v>
      </c>
      <c r="J15" s="7">
        <v>458.37</v>
      </c>
      <c r="K15" s="22">
        <v>475.47499999999997</v>
      </c>
      <c r="L15" s="7">
        <v>497.11</v>
      </c>
      <c r="M15" s="2">
        <v>520.87499999999977</v>
      </c>
      <c r="N15" s="23">
        <v>544.70000000000005</v>
      </c>
      <c r="O15" s="6">
        <v>562.70000000000005</v>
      </c>
      <c r="P15" s="5"/>
      <c r="Q15" s="5"/>
      <c r="T15" s="5"/>
    </row>
    <row r="16" spans="2:20" x14ac:dyDescent="0.3">
      <c r="B16" s="33"/>
      <c r="C16" s="1">
        <v>55</v>
      </c>
      <c r="D16" s="4">
        <v>72.748000000000005</v>
      </c>
      <c r="E16" s="1">
        <v>78.75</v>
      </c>
      <c r="F16" s="6">
        <v>87.61</v>
      </c>
      <c r="H16" s="33"/>
      <c r="I16" s="1">
        <v>50</v>
      </c>
      <c r="J16" s="7">
        <v>449.5</v>
      </c>
      <c r="K16" s="22">
        <v>462.97500000000002</v>
      </c>
      <c r="L16" s="7">
        <v>487.18</v>
      </c>
      <c r="M16" s="2">
        <v>512.50749999999971</v>
      </c>
      <c r="N16" s="23">
        <v>539.91</v>
      </c>
      <c r="O16" s="2">
        <v>553.91</v>
      </c>
      <c r="Q16" s="5"/>
      <c r="T16" s="5"/>
    </row>
    <row r="17" spans="1:61" x14ac:dyDescent="0.3">
      <c r="B17" s="33"/>
      <c r="C17" s="1">
        <v>60</v>
      </c>
      <c r="D17" s="4">
        <v>77.14</v>
      </c>
      <c r="E17" s="1">
        <v>83.48</v>
      </c>
      <c r="F17" s="6">
        <v>92.778999999999996</v>
      </c>
      <c r="H17" s="33"/>
      <c r="I17" s="1">
        <v>55</v>
      </c>
      <c r="J17" s="7">
        <v>440.9</v>
      </c>
      <c r="K17" s="22">
        <v>454.11</v>
      </c>
      <c r="L17" s="7">
        <v>477.55</v>
      </c>
      <c r="M17" s="2">
        <v>504.11249999999961</v>
      </c>
      <c r="N17" s="23">
        <v>528.75</v>
      </c>
      <c r="O17" s="2">
        <v>542</v>
      </c>
      <c r="Q17" s="5"/>
      <c r="T17" s="5"/>
    </row>
    <row r="18" spans="1:61" x14ac:dyDescent="0.3">
      <c r="H18" s="33"/>
      <c r="I18" s="1">
        <v>60</v>
      </c>
      <c r="J18" s="7">
        <v>432.55500000000001</v>
      </c>
      <c r="K18" s="22">
        <v>445.50499999999994</v>
      </c>
      <c r="L18" s="7">
        <v>468.21</v>
      </c>
      <c r="M18" s="2">
        <v>495.11249999999961</v>
      </c>
      <c r="N18" s="23">
        <v>517.94000000000005</v>
      </c>
      <c r="O18" s="2">
        <v>530</v>
      </c>
      <c r="P18" s="5"/>
      <c r="Q18" s="5"/>
    </row>
    <row r="19" spans="1:61" x14ac:dyDescent="0.3">
      <c r="Q19" s="5"/>
      <c r="R19" s="5"/>
    </row>
    <row r="20" spans="1:61" x14ac:dyDescent="0.3">
      <c r="Q20" s="5"/>
      <c r="R20" s="5"/>
    </row>
    <row r="21" spans="1:61" x14ac:dyDescent="0.3">
      <c r="J21" s="7">
        <v>570.21</v>
      </c>
      <c r="K21" s="7">
        <v>543.90599999999995</v>
      </c>
      <c r="L21" s="7">
        <v>531</v>
      </c>
      <c r="M21" s="7">
        <v>519</v>
      </c>
      <c r="N21" s="7">
        <v>507.78</v>
      </c>
      <c r="O21" s="7">
        <v>497.07</v>
      </c>
      <c r="P21" s="7">
        <v>486.83</v>
      </c>
      <c r="Q21" s="7">
        <v>477</v>
      </c>
      <c r="R21" s="7">
        <v>467.51799999999997</v>
      </c>
      <c r="S21" s="7">
        <v>458.37</v>
      </c>
      <c r="T21" s="7">
        <v>449.5</v>
      </c>
      <c r="U21" s="7">
        <v>440.9</v>
      </c>
      <c r="V21" s="7">
        <v>432.55500000000001</v>
      </c>
    </row>
    <row r="22" spans="1:61" x14ac:dyDescent="0.3">
      <c r="A22" s="31" t="s">
        <v>17</v>
      </c>
      <c r="J22" s="7">
        <v>595</v>
      </c>
      <c r="K22" s="22">
        <v>567.92000000000007</v>
      </c>
      <c r="L22" s="22">
        <v>554.36</v>
      </c>
      <c r="M22" s="22">
        <v>541.76649999999995</v>
      </c>
      <c r="N22" s="22">
        <v>529.9</v>
      </c>
      <c r="O22" s="22">
        <v>518.58500000000004</v>
      </c>
      <c r="P22" s="22">
        <v>507.82000000000005</v>
      </c>
      <c r="Q22" s="22">
        <v>497.45399999999989</v>
      </c>
      <c r="R22" s="22">
        <v>487.51099999999997</v>
      </c>
      <c r="S22" s="22">
        <v>475.47499999999997</v>
      </c>
      <c r="T22" s="22">
        <v>462.97500000000002</v>
      </c>
      <c r="U22" s="22">
        <v>454.11</v>
      </c>
      <c r="V22" s="22">
        <v>445.50499999999994</v>
      </c>
    </row>
    <row r="23" spans="1:61" x14ac:dyDescent="0.3">
      <c r="J23" s="7">
        <v>621.16999999999996</v>
      </c>
      <c r="K23" s="7">
        <v>593.23</v>
      </c>
      <c r="L23" s="7">
        <v>578.74</v>
      </c>
      <c r="M23" s="7">
        <v>565.30999999999995</v>
      </c>
      <c r="N23" s="7">
        <v>552.66</v>
      </c>
      <c r="O23" s="7">
        <v>540.59</v>
      </c>
      <c r="P23" s="7">
        <v>529.08000000000004</v>
      </c>
      <c r="Q23" s="7">
        <v>518.01599999999996</v>
      </c>
      <c r="R23" s="7">
        <v>507.39</v>
      </c>
      <c r="S23" s="7">
        <v>497.11</v>
      </c>
      <c r="T23" s="7">
        <v>487.18</v>
      </c>
      <c r="U23" s="7">
        <v>477.55</v>
      </c>
      <c r="V23" s="7">
        <v>468.21</v>
      </c>
    </row>
    <row r="24" spans="1:61" x14ac:dyDescent="0.3">
      <c r="J24" s="2">
        <v>647.33000000000004</v>
      </c>
      <c r="K24" s="2">
        <v>618.33000000000004</v>
      </c>
      <c r="L24" s="2">
        <v>602.16</v>
      </c>
      <c r="M24" s="2">
        <v>587.21</v>
      </c>
      <c r="N24" s="2">
        <v>576.57599999999979</v>
      </c>
      <c r="O24" s="2">
        <v>566.40249999999992</v>
      </c>
      <c r="P24" s="2">
        <v>552.9224999999999</v>
      </c>
      <c r="Q24" s="2">
        <v>538.60749999999996</v>
      </c>
      <c r="R24" s="2">
        <v>529.6099999999999</v>
      </c>
      <c r="S24" s="2">
        <v>520.87499999999977</v>
      </c>
      <c r="T24" s="2">
        <v>512.50749999999971</v>
      </c>
      <c r="U24" s="2">
        <v>504.11249999999961</v>
      </c>
      <c r="V24" s="2">
        <v>495.11249999999961</v>
      </c>
    </row>
    <row r="25" spans="1:61" x14ac:dyDescent="0.3">
      <c r="J25" s="7">
        <v>677.83</v>
      </c>
      <c r="K25" s="23">
        <v>648.16999999999996</v>
      </c>
      <c r="L25" s="23">
        <v>631.82000000000005</v>
      </c>
      <c r="M25" s="23">
        <v>616.71699999999998</v>
      </c>
      <c r="N25" s="23">
        <v>602.5</v>
      </c>
      <c r="O25" s="23">
        <v>588.91999999999996</v>
      </c>
      <c r="P25" s="23">
        <v>575.91999999999996</v>
      </c>
      <c r="Q25" s="23">
        <v>563.46</v>
      </c>
      <c r="R25" s="23">
        <v>551.46799999999996</v>
      </c>
      <c r="S25" s="23">
        <v>544.70000000000005</v>
      </c>
      <c r="T25" s="23">
        <v>539.91</v>
      </c>
      <c r="U25" s="23">
        <v>528.75</v>
      </c>
      <c r="V25" s="23">
        <v>517.94000000000005</v>
      </c>
    </row>
    <row r="26" spans="1:61" x14ac:dyDescent="0.3">
      <c r="J26" s="4">
        <v>708.88800000000003</v>
      </c>
      <c r="K26" s="4">
        <v>681.21800000000007</v>
      </c>
      <c r="L26" s="4">
        <v>653.92799999999988</v>
      </c>
      <c r="M26" s="4">
        <v>635.54100000000005</v>
      </c>
      <c r="N26" s="4">
        <v>623</v>
      </c>
      <c r="O26" s="2">
        <v>610</v>
      </c>
      <c r="P26" s="2">
        <v>595.42999999999995</v>
      </c>
      <c r="Q26" s="2">
        <v>581.46</v>
      </c>
      <c r="R26" s="2">
        <v>572.08000000000004</v>
      </c>
      <c r="S26" s="6">
        <v>562.70000000000005</v>
      </c>
      <c r="T26" s="2">
        <v>553.91</v>
      </c>
      <c r="U26" s="2">
        <v>542</v>
      </c>
      <c r="V26" s="2">
        <v>530</v>
      </c>
    </row>
    <row r="27" spans="1:61" x14ac:dyDescent="0.3">
      <c r="J27" s="24"/>
      <c r="K27" s="25"/>
      <c r="L27" s="24"/>
      <c r="N27" s="26"/>
      <c r="Q27" s="5"/>
      <c r="R27" s="5"/>
    </row>
    <row r="28" spans="1:61" x14ac:dyDescent="0.3">
      <c r="J28" s="24"/>
      <c r="K28" s="25"/>
      <c r="L28" s="24"/>
      <c r="N28" s="26"/>
      <c r="R28" s="5"/>
    </row>
    <row r="29" spans="1:6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N29" s="26"/>
    </row>
    <row r="30" spans="1:61" x14ac:dyDescent="0.3">
      <c r="N30" s="26"/>
    </row>
    <row r="31" spans="1:61" ht="15" thickBot="1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N31" s="26"/>
    </row>
    <row r="32" spans="1:61" ht="15" thickBot="1" x14ac:dyDescent="0.35">
      <c r="A32" s="29">
        <v>1080</v>
      </c>
      <c r="B32" s="29">
        <v>1097</v>
      </c>
      <c r="C32" s="29">
        <v>1114</v>
      </c>
      <c r="D32" s="29">
        <v>1131</v>
      </c>
      <c r="E32" s="29">
        <v>1149</v>
      </c>
      <c r="F32" s="29">
        <v>1166</v>
      </c>
      <c r="G32" s="29">
        <v>1185</v>
      </c>
      <c r="H32" s="29">
        <v>1203</v>
      </c>
      <c r="I32" s="29">
        <v>1222</v>
      </c>
      <c r="J32" s="29">
        <v>1241</v>
      </c>
      <c r="K32" s="29">
        <v>1260</v>
      </c>
      <c r="L32" s="29">
        <v>1279</v>
      </c>
      <c r="M32" s="29">
        <v>1299</v>
      </c>
      <c r="N32" s="29">
        <v>1319</v>
      </c>
      <c r="O32" s="29">
        <v>1340</v>
      </c>
      <c r="P32" s="29">
        <v>1361</v>
      </c>
      <c r="Q32" s="29">
        <v>1382</v>
      </c>
      <c r="R32" s="29">
        <v>1403</v>
      </c>
      <c r="S32" s="29">
        <v>1425</v>
      </c>
      <c r="T32" s="29">
        <v>1447</v>
      </c>
      <c r="U32" s="29">
        <v>1470</v>
      </c>
      <c r="V32" s="29">
        <v>1492</v>
      </c>
      <c r="W32" s="29">
        <v>1516</v>
      </c>
      <c r="X32" s="29">
        <v>1539</v>
      </c>
      <c r="Y32" s="29">
        <v>1563</v>
      </c>
      <c r="Z32" s="29">
        <v>1587</v>
      </c>
      <c r="AA32" s="29">
        <v>1612</v>
      </c>
      <c r="AB32" s="29">
        <v>1637</v>
      </c>
      <c r="AC32" s="29">
        <v>1662</v>
      </c>
      <c r="AD32" s="29">
        <v>1688</v>
      </c>
      <c r="AE32" s="29">
        <v>1714</v>
      </c>
      <c r="AF32" s="29">
        <v>1741</v>
      </c>
      <c r="AG32" s="29">
        <v>1768</v>
      </c>
      <c r="AH32" s="29">
        <v>1796</v>
      </c>
      <c r="AI32" s="29">
        <v>1823</v>
      </c>
      <c r="AJ32" s="29">
        <v>1852</v>
      </c>
      <c r="AK32" s="29">
        <v>1880</v>
      </c>
      <c r="AL32" s="29">
        <v>1910</v>
      </c>
      <c r="AM32" s="29">
        <v>1939</v>
      </c>
      <c r="AN32" s="29">
        <v>1969</v>
      </c>
      <c r="AO32" s="29">
        <v>2000</v>
      </c>
      <c r="AP32" s="29">
        <v>2031</v>
      </c>
      <c r="AQ32" s="29">
        <v>2063</v>
      </c>
      <c r="AR32" s="29">
        <v>2095</v>
      </c>
      <c r="AS32" s="29">
        <v>2127</v>
      </c>
      <c r="AT32" s="29">
        <v>2160</v>
      </c>
      <c r="AU32" s="29">
        <v>2194</v>
      </c>
      <c r="AV32" s="29">
        <v>2228</v>
      </c>
      <c r="AW32" s="29">
        <v>2262</v>
      </c>
      <c r="AX32" s="29">
        <v>2297</v>
      </c>
      <c r="AY32" s="29">
        <v>2333</v>
      </c>
      <c r="AZ32" s="29">
        <v>2369</v>
      </c>
      <c r="BA32" s="29">
        <v>2406</v>
      </c>
      <c r="BB32" s="29">
        <v>2443</v>
      </c>
      <c r="BC32" s="29">
        <v>2481</v>
      </c>
      <c r="BD32" s="29">
        <v>2520</v>
      </c>
      <c r="BE32" s="29">
        <v>2559</v>
      </c>
      <c r="BF32" s="29">
        <v>2599</v>
      </c>
      <c r="BG32" s="29">
        <v>2639</v>
      </c>
      <c r="BH32" s="29">
        <v>2680</v>
      </c>
      <c r="BI32" s="29">
        <v>2722</v>
      </c>
    </row>
    <row r="33" spans="1:62" ht="15" thickBot="1" x14ac:dyDescent="0.35">
      <c r="A33" s="28">
        <v>40</v>
      </c>
      <c r="B33" s="30">
        <v>43980</v>
      </c>
      <c r="C33" s="30">
        <v>48022</v>
      </c>
      <c r="D33" s="30">
        <v>52127</v>
      </c>
      <c r="E33" s="30">
        <v>56296</v>
      </c>
      <c r="F33" s="30">
        <v>60529</v>
      </c>
      <c r="G33" s="30">
        <v>64828</v>
      </c>
      <c r="H33" s="30">
        <v>69193</v>
      </c>
      <c r="I33" s="30">
        <v>73627</v>
      </c>
      <c r="J33" s="30">
        <v>78129</v>
      </c>
      <c r="K33" s="30">
        <v>82701</v>
      </c>
      <c r="L33" s="30">
        <v>87344</v>
      </c>
      <c r="M33" s="30">
        <v>92060</v>
      </c>
      <c r="N33" s="30">
        <v>96848</v>
      </c>
      <c r="O33" s="30">
        <v>101711</v>
      </c>
      <c r="P33" s="30">
        <v>106649</v>
      </c>
      <c r="Q33" s="30">
        <v>111664</v>
      </c>
      <c r="R33" s="30">
        <v>116756</v>
      </c>
      <c r="S33" s="30">
        <v>121928</v>
      </c>
      <c r="T33" s="30">
        <v>127180</v>
      </c>
      <c r="U33" s="30">
        <v>132514</v>
      </c>
      <c r="V33" s="30">
        <v>137930</v>
      </c>
      <c r="W33" s="30">
        <v>143431</v>
      </c>
      <c r="X33" s="30">
        <v>149016</v>
      </c>
      <c r="Y33" s="30">
        <v>154689</v>
      </c>
      <c r="Z33" s="30">
        <v>160450</v>
      </c>
      <c r="AA33" s="30">
        <v>166300</v>
      </c>
      <c r="AB33" s="30">
        <v>172240</v>
      </c>
      <c r="AC33" s="30">
        <v>178273</v>
      </c>
      <c r="AD33" s="30">
        <v>184400</v>
      </c>
      <c r="AE33" s="30">
        <v>190622</v>
      </c>
      <c r="AF33" s="30">
        <v>196940</v>
      </c>
      <c r="AG33" s="30">
        <v>203357</v>
      </c>
      <c r="AH33" s="30">
        <v>209873</v>
      </c>
      <c r="AI33" s="30">
        <v>216490</v>
      </c>
      <c r="AJ33" s="30">
        <v>223210</v>
      </c>
      <c r="AK33" s="30">
        <v>230034</v>
      </c>
      <c r="AL33" s="30">
        <v>236964</v>
      </c>
      <c r="AM33" s="30">
        <v>244002</v>
      </c>
      <c r="AN33" s="30">
        <v>251149</v>
      </c>
      <c r="AO33" s="30">
        <v>258407</v>
      </c>
      <c r="AP33" s="30">
        <v>265777</v>
      </c>
      <c r="AQ33" s="30">
        <v>273263</v>
      </c>
      <c r="AR33" s="30">
        <v>280864</v>
      </c>
      <c r="AS33" s="30">
        <v>288583</v>
      </c>
      <c r="AT33" s="30">
        <v>296422</v>
      </c>
      <c r="AU33" s="30">
        <v>304383</v>
      </c>
      <c r="AV33" s="30">
        <v>312467</v>
      </c>
      <c r="AW33" s="30">
        <v>320677</v>
      </c>
      <c r="AX33" s="30">
        <v>329014</v>
      </c>
      <c r="AY33" s="30">
        <v>337481</v>
      </c>
      <c r="AZ33" s="30">
        <v>346079</v>
      </c>
      <c r="BA33" s="30">
        <v>354810</v>
      </c>
      <c r="BB33" s="30">
        <v>363677</v>
      </c>
      <c r="BC33" s="30">
        <v>372682</v>
      </c>
      <c r="BD33" s="30">
        <v>381826</v>
      </c>
      <c r="BE33" s="30">
        <v>391113</v>
      </c>
      <c r="BF33" s="30">
        <v>400543</v>
      </c>
      <c r="BG33" s="30">
        <v>410120</v>
      </c>
      <c r="BH33" s="30">
        <v>419846</v>
      </c>
      <c r="BI33" s="30">
        <v>429723</v>
      </c>
      <c r="BJ33" s="5"/>
    </row>
    <row r="34" spans="1:62" ht="15" thickBot="1" x14ac:dyDescent="0.35">
      <c r="B34">
        <f>B35*10^-3</f>
        <v>1.097</v>
      </c>
      <c r="C34">
        <f t="shared" ref="C34:BI34" si="0">C35*10^-3</f>
        <v>1.1140000000000001</v>
      </c>
      <c r="D34">
        <f t="shared" si="0"/>
        <v>1.131</v>
      </c>
      <c r="E34">
        <f t="shared" si="0"/>
        <v>1.149</v>
      </c>
      <c r="F34">
        <f t="shared" si="0"/>
        <v>1.1659999999999999</v>
      </c>
      <c r="G34">
        <f t="shared" si="0"/>
        <v>1.1850000000000001</v>
      </c>
      <c r="H34">
        <f t="shared" si="0"/>
        <v>1.2030000000000001</v>
      </c>
      <c r="I34">
        <f t="shared" si="0"/>
        <v>1.222</v>
      </c>
      <c r="J34">
        <f t="shared" si="0"/>
        <v>1.2410000000000001</v>
      </c>
      <c r="K34">
        <f t="shared" si="0"/>
        <v>1.26</v>
      </c>
      <c r="L34">
        <f t="shared" si="0"/>
        <v>1.2790000000000001</v>
      </c>
      <c r="M34">
        <f t="shared" si="0"/>
        <v>1.2989999999999999</v>
      </c>
      <c r="N34">
        <f t="shared" si="0"/>
        <v>1.319</v>
      </c>
      <c r="O34">
        <f t="shared" si="0"/>
        <v>1.34</v>
      </c>
      <c r="P34">
        <f t="shared" si="0"/>
        <v>1.361</v>
      </c>
      <c r="Q34">
        <f t="shared" si="0"/>
        <v>1.3820000000000001</v>
      </c>
      <c r="R34">
        <f t="shared" si="0"/>
        <v>1.403</v>
      </c>
      <c r="S34">
        <f t="shared" si="0"/>
        <v>1.425</v>
      </c>
      <c r="T34">
        <f t="shared" si="0"/>
        <v>1.4470000000000001</v>
      </c>
      <c r="U34">
        <f t="shared" si="0"/>
        <v>1.47</v>
      </c>
      <c r="V34">
        <f t="shared" si="0"/>
        <v>1.492</v>
      </c>
      <c r="W34">
        <f t="shared" si="0"/>
        <v>1.516</v>
      </c>
      <c r="X34">
        <f t="shared" si="0"/>
        <v>1.5389999999999999</v>
      </c>
      <c r="Y34">
        <f t="shared" si="0"/>
        <v>1.5629999999999999</v>
      </c>
      <c r="Z34">
        <f t="shared" si="0"/>
        <v>1.587</v>
      </c>
      <c r="AA34">
        <f t="shared" si="0"/>
        <v>1.6120000000000001</v>
      </c>
      <c r="AB34">
        <f t="shared" si="0"/>
        <v>1.637</v>
      </c>
      <c r="AC34">
        <f t="shared" si="0"/>
        <v>1.6620000000000001</v>
      </c>
      <c r="AD34">
        <f t="shared" si="0"/>
        <v>1.6879999999999999</v>
      </c>
      <c r="AE34">
        <f t="shared" si="0"/>
        <v>1.714</v>
      </c>
      <c r="AF34">
        <f t="shared" si="0"/>
        <v>1.7410000000000001</v>
      </c>
      <c r="AG34">
        <f t="shared" si="0"/>
        <v>1.768</v>
      </c>
      <c r="AH34">
        <f t="shared" si="0"/>
        <v>1.796</v>
      </c>
      <c r="AI34">
        <f t="shared" si="0"/>
        <v>1.823</v>
      </c>
      <c r="AJ34">
        <f t="shared" si="0"/>
        <v>1.8520000000000001</v>
      </c>
      <c r="AK34">
        <f t="shared" si="0"/>
        <v>1.8800000000000001</v>
      </c>
      <c r="AL34">
        <f t="shared" si="0"/>
        <v>1.9100000000000001</v>
      </c>
      <c r="AM34">
        <f t="shared" si="0"/>
        <v>1.9390000000000001</v>
      </c>
      <c r="AN34">
        <f t="shared" si="0"/>
        <v>1.9690000000000001</v>
      </c>
      <c r="AO34">
        <f t="shared" si="0"/>
        <v>2</v>
      </c>
      <c r="AP34">
        <f t="shared" si="0"/>
        <v>2.0310000000000001</v>
      </c>
      <c r="AQ34">
        <f t="shared" si="0"/>
        <v>2.0630000000000002</v>
      </c>
      <c r="AR34">
        <f t="shared" si="0"/>
        <v>2.0950000000000002</v>
      </c>
      <c r="AS34">
        <f t="shared" si="0"/>
        <v>2.1270000000000002</v>
      </c>
      <c r="AT34">
        <f t="shared" si="0"/>
        <v>2.16</v>
      </c>
      <c r="AU34">
        <f t="shared" si="0"/>
        <v>2.194</v>
      </c>
      <c r="AV34">
        <f t="shared" si="0"/>
        <v>2.2280000000000002</v>
      </c>
      <c r="AW34">
        <f t="shared" si="0"/>
        <v>2.262</v>
      </c>
      <c r="AX34">
        <f t="shared" si="0"/>
        <v>2.2970000000000002</v>
      </c>
      <c r="AY34">
        <f t="shared" si="0"/>
        <v>2.3330000000000002</v>
      </c>
      <c r="AZ34">
        <f t="shared" si="0"/>
        <v>2.3690000000000002</v>
      </c>
      <c r="BA34">
        <f t="shared" si="0"/>
        <v>2.4060000000000001</v>
      </c>
      <c r="BB34">
        <f t="shared" si="0"/>
        <v>2.4430000000000001</v>
      </c>
      <c r="BC34">
        <f t="shared" si="0"/>
        <v>2.4809999999999999</v>
      </c>
      <c r="BD34">
        <f t="shared" si="0"/>
        <v>2.52</v>
      </c>
      <c r="BE34">
        <f t="shared" si="0"/>
        <v>2.5590000000000002</v>
      </c>
      <c r="BF34">
        <f t="shared" si="0"/>
        <v>2.5990000000000002</v>
      </c>
      <c r="BG34">
        <f t="shared" si="0"/>
        <v>2.6390000000000002</v>
      </c>
      <c r="BH34">
        <f t="shared" si="0"/>
        <v>2.68</v>
      </c>
      <c r="BI34">
        <f t="shared" si="0"/>
        <v>2.722</v>
      </c>
    </row>
    <row r="35" spans="1:62" ht="15" thickBot="1" x14ac:dyDescent="0.35">
      <c r="A35" s="29">
        <v>1080</v>
      </c>
      <c r="B35" s="29">
        <v>1097</v>
      </c>
      <c r="C35" s="29">
        <v>1114</v>
      </c>
      <c r="D35" s="29">
        <v>1131</v>
      </c>
      <c r="E35" s="29">
        <v>1149</v>
      </c>
      <c r="F35" s="29">
        <v>1166</v>
      </c>
      <c r="G35" s="29">
        <v>1185</v>
      </c>
      <c r="H35" s="29">
        <v>1203</v>
      </c>
      <c r="I35" s="29">
        <v>1222</v>
      </c>
      <c r="J35" s="29">
        <v>1241</v>
      </c>
      <c r="K35" s="29">
        <v>1260</v>
      </c>
      <c r="L35" s="29">
        <v>1279</v>
      </c>
      <c r="M35" s="29">
        <v>1299</v>
      </c>
      <c r="N35" s="29">
        <v>1319</v>
      </c>
      <c r="O35" s="29">
        <v>1340</v>
      </c>
      <c r="P35" s="29">
        <v>1361</v>
      </c>
      <c r="Q35" s="29">
        <v>1382</v>
      </c>
      <c r="R35" s="29">
        <v>1403</v>
      </c>
      <c r="S35" s="29">
        <v>1425</v>
      </c>
      <c r="T35" s="29">
        <v>1447</v>
      </c>
      <c r="U35" s="29">
        <v>1470</v>
      </c>
      <c r="V35" s="29">
        <v>1492</v>
      </c>
      <c r="W35" s="29">
        <v>1516</v>
      </c>
      <c r="X35" s="29">
        <v>1539</v>
      </c>
      <c r="Y35" s="29">
        <v>1563</v>
      </c>
      <c r="Z35" s="29">
        <v>1587</v>
      </c>
      <c r="AA35" s="29">
        <v>1612</v>
      </c>
      <c r="AB35" s="29">
        <v>1637</v>
      </c>
      <c r="AC35" s="29">
        <v>1662</v>
      </c>
      <c r="AD35" s="29">
        <v>1688</v>
      </c>
      <c r="AE35" s="29">
        <v>1714</v>
      </c>
      <c r="AF35" s="29">
        <v>1741</v>
      </c>
      <c r="AG35" s="29">
        <v>1768</v>
      </c>
      <c r="AH35" s="29">
        <v>1796</v>
      </c>
      <c r="AI35" s="29">
        <v>1823</v>
      </c>
      <c r="AJ35" s="29">
        <v>1852</v>
      </c>
      <c r="AK35" s="29">
        <v>1880</v>
      </c>
      <c r="AL35" s="29">
        <v>1910</v>
      </c>
      <c r="AM35" s="29">
        <v>1939</v>
      </c>
      <c r="AN35" s="29">
        <v>1969</v>
      </c>
      <c r="AO35" s="29">
        <v>2000</v>
      </c>
      <c r="AP35" s="29">
        <v>2031</v>
      </c>
      <c r="AQ35" s="29">
        <v>2063</v>
      </c>
      <c r="AR35" s="29">
        <v>2095</v>
      </c>
      <c r="AS35" s="29">
        <v>2127</v>
      </c>
      <c r="AT35" s="29">
        <v>2160</v>
      </c>
      <c r="AU35" s="29">
        <v>2194</v>
      </c>
      <c r="AV35" s="29">
        <v>2228</v>
      </c>
      <c r="AW35" s="29">
        <v>2262</v>
      </c>
      <c r="AX35" s="29">
        <v>2297</v>
      </c>
      <c r="AY35" s="29">
        <v>2333</v>
      </c>
      <c r="AZ35" s="29">
        <v>2369</v>
      </c>
      <c r="BA35" s="29">
        <v>2406</v>
      </c>
      <c r="BB35" s="29">
        <v>2443</v>
      </c>
      <c r="BC35" s="29">
        <v>2481</v>
      </c>
      <c r="BD35" s="29">
        <v>2520</v>
      </c>
      <c r="BE35" s="29">
        <v>2559</v>
      </c>
      <c r="BF35" s="29">
        <v>2599</v>
      </c>
      <c r="BG35" s="29">
        <v>2639</v>
      </c>
      <c r="BH35" s="29">
        <v>2680</v>
      </c>
      <c r="BI35" s="29">
        <v>2722</v>
      </c>
    </row>
    <row r="36" spans="1:62" ht="15" thickBot="1" x14ac:dyDescent="0.35">
      <c r="A36" s="28">
        <v>40</v>
      </c>
      <c r="B36" s="30">
        <v>43980</v>
      </c>
      <c r="C36" s="30">
        <v>48022</v>
      </c>
      <c r="D36" s="30">
        <v>52127</v>
      </c>
      <c r="E36" s="30">
        <v>56296</v>
      </c>
      <c r="F36" s="30">
        <v>60529</v>
      </c>
      <c r="G36" s="30">
        <v>64828</v>
      </c>
      <c r="H36" s="30">
        <v>69193</v>
      </c>
      <c r="I36" s="30">
        <v>73627</v>
      </c>
      <c r="J36" s="30">
        <v>78129</v>
      </c>
      <c r="K36" s="30">
        <v>82701</v>
      </c>
      <c r="L36" s="30">
        <v>87344</v>
      </c>
      <c r="M36" s="30">
        <v>92060</v>
      </c>
      <c r="N36" s="30">
        <v>96848</v>
      </c>
      <c r="O36" s="30">
        <v>101711</v>
      </c>
      <c r="P36" s="30">
        <v>106649</v>
      </c>
      <c r="Q36" s="30">
        <v>111664</v>
      </c>
      <c r="R36" s="30">
        <v>116756</v>
      </c>
      <c r="S36" s="30">
        <v>121928</v>
      </c>
      <c r="T36" s="30">
        <v>127180</v>
      </c>
      <c r="U36" s="30">
        <v>132514</v>
      </c>
      <c r="V36" s="30">
        <v>137930</v>
      </c>
      <c r="W36" s="30">
        <v>143431</v>
      </c>
      <c r="X36" s="30">
        <v>149016</v>
      </c>
      <c r="Y36" s="30">
        <v>154689</v>
      </c>
      <c r="Z36" s="30">
        <v>160450</v>
      </c>
      <c r="AA36" s="30">
        <v>166300</v>
      </c>
      <c r="AB36" s="30">
        <v>172240</v>
      </c>
      <c r="AC36" s="30">
        <v>178273</v>
      </c>
      <c r="AD36" s="30">
        <v>184400</v>
      </c>
      <c r="AE36" s="30">
        <v>190622</v>
      </c>
      <c r="AF36" s="30">
        <v>196940</v>
      </c>
      <c r="AG36" s="30">
        <v>203357</v>
      </c>
      <c r="AH36" s="30">
        <v>209873</v>
      </c>
      <c r="AI36" s="30">
        <v>216490</v>
      </c>
      <c r="AJ36" s="30">
        <v>223210</v>
      </c>
      <c r="AK36" s="30">
        <v>230034</v>
      </c>
      <c r="AL36" s="30">
        <v>236964</v>
      </c>
      <c r="AM36" s="30">
        <v>244002</v>
      </c>
      <c r="AN36" s="30">
        <v>251149</v>
      </c>
      <c r="AO36" s="30">
        <v>258407</v>
      </c>
      <c r="AP36" s="30">
        <v>265777</v>
      </c>
      <c r="AQ36" s="30">
        <v>273263</v>
      </c>
      <c r="AR36" s="30">
        <v>280864</v>
      </c>
      <c r="AS36" s="30">
        <v>288583</v>
      </c>
      <c r="AT36" s="30">
        <v>296422</v>
      </c>
      <c r="AU36" s="30">
        <v>304383</v>
      </c>
      <c r="AV36" s="30">
        <v>312467</v>
      </c>
      <c r="AW36" s="30">
        <v>320677</v>
      </c>
      <c r="AX36" s="30">
        <v>329014</v>
      </c>
      <c r="AY36" s="30">
        <v>337481</v>
      </c>
      <c r="AZ36" s="30">
        <v>346079</v>
      </c>
      <c r="BA36" s="30">
        <v>354810</v>
      </c>
      <c r="BB36" s="30">
        <v>363677</v>
      </c>
      <c r="BC36" s="30">
        <v>372682</v>
      </c>
      <c r="BD36" s="30">
        <v>381826</v>
      </c>
      <c r="BE36" s="30">
        <v>391113</v>
      </c>
      <c r="BF36" s="30">
        <v>400543</v>
      </c>
      <c r="BG36" s="30">
        <v>410120</v>
      </c>
      <c r="BH36" s="30">
        <v>419846</v>
      </c>
      <c r="BI36" s="30">
        <v>429723</v>
      </c>
    </row>
    <row r="37" spans="1:62" x14ac:dyDescent="0.3">
      <c r="B37">
        <f>B36*10^-3</f>
        <v>43.980000000000004</v>
      </c>
      <c r="C37">
        <f t="shared" ref="C37:BI37" si="1">C36*10^-3</f>
        <v>48.021999999999998</v>
      </c>
      <c r="D37">
        <f t="shared" si="1"/>
        <v>52.127000000000002</v>
      </c>
      <c r="E37">
        <f t="shared" si="1"/>
        <v>56.295999999999999</v>
      </c>
      <c r="F37">
        <f t="shared" si="1"/>
        <v>60.529000000000003</v>
      </c>
      <c r="G37">
        <f t="shared" si="1"/>
        <v>64.828000000000003</v>
      </c>
      <c r="H37">
        <f t="shared" si="1"/>
        <v>69.192999999999998</v>
      </c>
      <c r="I37">
        <f t="shared" si="1"/>
        <v>73.626999999999995</v>
      </c>
      <c r="J37">
        <f t="shared" si="1"/>
        <v>78.129000000000005</v>
      </c>
      <c r="K37">
        <f t="shared" si="1"/>
        <v>82.701000000000008</v>
      </c>
      <c r="L37">
        <f t="shared" si="1"/>
        <v>87.344000000000008</v>
      </c>
      <c r="M37">
        <f t="shared" si="1"/>
        <v>92.06</v>
      </c>
      <c r="N37">
        <f t="shared" si="1"/>
        <v>96.847999999999999</v>
      </c>
      <c r="O37">
        <f t="shared" si="1"/>
        <v>101.711</v>
      </c>
      <c r="P37">
        <f t="shared" si="1"/>
        <v>106.649</v>
      </c>
      <c r="Q37">
        <f t="shared" si="1"/>
        <v>111.664</v>
      </c>
      <c r="R37">
        <f t="shared" si="1"/>
        <v>116.756</v>
      </c>
      <c r="S37">
        <f t="shared" si="1"/>
        <v>121.928</v>
      </c>
      <c r="T37">
        <f t="shared" si="1"/>
        <v>127.18</v>
      </c>
      <c r="U37">
        <f t="shared" si="1"/>
        <v>132.51400000000001</v>
      </c>
      <c r="V37">
        <f t="shared" si="1"/>
        <v>137.93</v>
      </c>
      <c r="W37">
        <f t="shared" si="1"/>
        <v>143.43100000000001</v>
      </c>
      <c r="X37">
        <f t="shared" si="1"/>
        <v>149.01599999999999</v>
      </c>
      <c r="Y37">
        <f t="shared" si="1"/>
        <v>154.68899999999999</v>
      </c>
      <c r="Z37">
        <f t="shared" si="1"/>
        <v>160.45000000000002</v>
      </c>
      <c r="AA37">
        <f t="shared" si="1"/>
        <v>166.3</v>
      </c>
      <c r="AB37">
        <f t="shared" si="1"/>
        <v>172.24</v>
      </c>
      <c r="AC37">
        <f t="shared" si="1"/>
        <v>178.273</v>
      </c>
      <c r="AD37">
        <f t="shared" si="1"/>
        <v>184.4</v>
      </c>
      <c r="AE37">
        <f t="shared" si="1"/>
        <v>190.62200000000001</v>
      </c>
      <c r="AF37">
        <f t="shared" si="1"/>
        <v>196.94</v>
      </c>
      <c r="AG37">
        <f t="shared" si="1"/>
        <v>203.357</v>
      </c>
      <c r="AH37">
        <f t="shared" si="1"/>
        <v>209.87299999999999</v>
      </c>
      <c r="AI37">
        <f t="shared" si="1"/>
        <v>216.49</v>
      </c>
      <c r="AJ37">
        <f t="shared" si="1"/>
        <v>223.21</v>
      </c>
      <c r="AK37">
        <f t="shared" si="1"/>
        <v>230.03399999999999</v>
      </c>
      <c r="AL37">
        <f t="shared" si="1"/>
        <v>236.964</v>
      </c>
      <c r="AM37">
        <f t="shared" si="1"/>
        <v>244.00200000000001</v>
      </c>
      <c r="AN37">
        <f t="shared" si="1"/>
        <v>251.149</v>
      </c>
      <c r="AO37">
        <f t="shared" si="1"/>
        <v>258.40699999999998</v>
      </c>
      <c r="AP37">
        <f t="shared" si="1"/>
        <v>265.77699999999999</v>
      </c>
      <c r="AQ37">
        <f t="shared" si="1"/>
        <v>273.26300000000003</v>
      </c>
      <c r="AR37">
        <f t="shared" si="1"/>
        <v>280.86400000000003</v>
      </c>
      <c r="AS37">
        <f t="shared" si="1"/>
        <v>288.58300000000003</v>
      </c>
      <c r="AT37">
        <f t="shared" si="1"/>
        <v>296.42200000000003</v>
      </c>
      <c r="AU37">
        <f t="shared" si="1"/>
        <v>304.38299999999998</v>
      </c>
      <c r="AV37">
        <f t="shared" si="1"/>
        <v>312.46699999999998</v>
      </c>
      <c r="AW37">
        <f t="shared" si="1"/>
        <v>320.67700000000002</v>
      </c>
      <c r="AX37">
        <f t="shared" si="1"/>
        <v>329.01400000000001</v>
      </c>
      <c r="AY37">
        <f t="shared" si="1"/>
        <v>337.48099999999999</v>
      </c>
      <c r="AZ37">
        <f t="shared" si="1"/>
        <v>346.07900000000001</v>
      </c>
      <c r="BA37">
        <f t="shared" si="1"/>
        <v>354.81</v>
      </c>
      <c r="BB37">
        <f t="shared" si="1"/>
        <v>363.67700000000002</v>
      </c>
      <c r="BC37">
        <f t="shared" si="1"/>
        <v>372.68200000000002</v>
      </c>
      <c r="BD37">
        <f t="shared" si="1"/>
        <v>381.82600000000002</v>
      </c>
      <c r="BE37">
        <f t="shared" si="1"/>
        <v>391.113</v>
      </c>
      <c r="BF37">
        <f t="shared" si="1"/>
        <v>400.54300000000001</v>
      </c>
      <c r="BG37">
        <f t="shared" si="1"/>
        <v>410.12</v>
      </c>
      <c r="BH37">
        <f t="shared" si="1"/>
        <v>419.846</v>
      </c>
      <c r="BI37">
        <f t="shared" si="1"/>
        <v>429.72300000000001</v>
      </c>
    </row>
    <row r="42" spans="1:62" x14ac:dyDescent="0.3">
      <c r="A42">
        <v>1.08</v>
      </c>
      <c r="B42">
        <v>1.097</v>
      </c>
      <c r="C42">
        <v>1.1140000000000001</v>
      </c>
      <c r="D42">
        <v>1.131</v>
      </c>
      <c r="E42">
        <v>1.149</v>
      </c>
      <c r="F42">
        <v>1.1659999999999999</v>
      </c>
      <c r="G42">
        <v>1.1850000000000001</v>
      </c>
      <c r="H42">
        <v>1.2030000000000001</v>
      </c>
      <c r="I42">
        <v>1.222</v>
      </c>
      <c r="J42">
        <v>1.2410000000000001</v>
      </c>
      <c r="K42">
        <v>1.26</v>
      </c>
      <c r="L42">
        <v>1.2790000000000001</v>
      </c>
      <c r="M42">
        <v>1.2989999999999999</v>
      </c>
      <c r="N42">
        <v>1.319</v>
      </c>
      <c r="O42">
        <v>1.34</v>
      </c>
      <c r="P42">
        <v>1.361</v>
      </c>
      <c r="Q42">
        <v>1.3820000000000001</v>
      </c>
      <c r="R42">
        <v>1.403</v>
      </c>
      <c r="S42">
        <v>1.425</v>
      </c>
      <c r="T42">
        <v>1.4470000000000001</v>
      </c>
      <c r="U42">
        <v>1.47</v>
      </c>
      <c r="V42">
        <v>1.492</v>
      </c>
      <c r="W42">
        <v>1.516</v>
      </c>
      <c r="X42">
        <v>1.5389999999999999</v>
      </c>
      <c r="Y42">
        <v>1.5629999999999999</v>
      </c>
      <c r="Z42">
        <v>1.587</v>
      </c>
      <c r="AA42">
        <v>1.6120000000000001</v>
      </c>
      <c r="AB42">
        <v>1.637</v>
      </c>
      <c r="AC42">
        <v>1.6620000000000001</v>
      </c>
      <c r="AD42">
        <v>1.6879999999999999</v>
      </c>
      <c r="AE42">
        <v>1.714</v>
      </c>
      <c r="AF42">
        <v>1.7410000000000001</v>
      </c>
      <c r="AG42">
        <v>1.768</v>
      </c>
      <c r="AH42">
        <v>1.796</v>
      </c>
      <c r="AI42">
        <v>1.823</v>
      </c>
      <c r="AJ42">
        <v>1.8520000000000001</v>
      </c>
      <c r="AK42">
        <v>1.8800000000000001</v>
      </c>
      <c r="AL42">
        <v>1.9100000000000001</v>
      </c>
      <c r="AM42">
        <v>1.9390000000000001</v>
      </c>
      <c r="AN42">
        <v>1.9690000000000001</v>
      </c>
      <c r="AO42">
        <v>2</v>
      </c>
      <c r="AP42">
        <v>2.0310000000000001</v>
      </c>
      <c r="AQ42">
        <v>2.0630000000000002</v>
      </c>
      <c r="AR42">
        <v>2.0950000000000002</v>
      </c>
      <c r="AS42">
        <v>2.1270000000000002</v>
      </c>
      <c r="AT42">
        <v>2.16</v>
      </c>
      <c r="AU42">
        <v>2.194</v>
      </c>
      <c r="AV42">
        <v>2.2280000000000002</v>
      </c>
      <c r="AW42">
        <v>2.262</v>
      </c>
      <c r="AX42">
        <v>2.2970000000000002</v>
      </c>
      <c r="AY42">
        <v>2.3330000000000002</v>
      </c>
      <c r="AZ42">
        <v>2.3690000000000002</v>
      </c>
      <c r="BA42">
        <v>2.4060000000000001</v>
      </c>
      <c r="BB42">
        <v>2.4430000000000001</v>
      </c>
      <c r="BC42">
        <v>2.4809999999999999</v>
      </c>
      <c r="BD42">
        <v>2.52</v>
      </c>
      <c r="BE42">
        <v>2.5590000000000002</v>
      </c>
      <c r="BF42">
        <v>2.5990000000000002</v>
      </c>
      <c r="BG42">
        <v>2.6390000000000002</v>
      </c>
      <c r="BH42">
        <v>2.68</v>
      </c>
      <c r="BI42">
        <v>2.722</v>
      </c>
    </row>
    <row r="43" spans="1:62" x14ac:dyDescent="0.3">
      <c r="A43">
        <v>40</v>
      </c>
      <c r="B43">
        <v>43.980000000000004</v>
      </c>
      <c r="C43">
        <v>48.021999999999998</v>
      </c>
      <c r="D43">
        <v>52.127000000000002</v>
      </c>
      <c r="E43">
        <v>56.295999999999999</v>
      </c>
      <c r="F43">
        <v>60.529000000000003</v>
      </c>
      <c r="G43">
        <v>64.828000000000003</v>
      </c>
      <c r="H43">
        <v>69.192999999999998</v>
      </c>
      <c r="I43">
        <v>73.626999999999995</v>
      </c>
      <c r="J43">
        <v>78.129000000000005</v>
      </c>
      <c r="K43">
        <v>82.701000000000008</v>
      </c>
      <c r="L43">
        <v>87.344000000000008</v>
      </c>
      <c r="M43">
        <v>92.06</v>
      </c>
      <c r="N43">
        <v>96.847999999999999</v>
      </c>
      <c r="O43">
        <v>101.711</v>
      </c>
      <c r="P43">
        <v>106.649</v>
      </c>
      <c r="Q43">
        <v>111.664</v>
      </c>
      <c r="R43">
        <v>116.756</v>
      </c>
      <c r="S43">
        <v>121.928</v>
      </c>
      <c r="T43">
        <v>127.18</v>
      </c>
      <c r="U43">
        <v>132.51400000000001</v>
      </c>
      <c r="V43">
        <v>137.93</v>
      </c>
      <c r="W43">
        <v>143.43100000000001</v>
      </c>
      <c r="X43">
        <v>149.01599999999999</v>
      </c>
      <c r="Y43">
        <v>154.68899999999999</v>
      </c>
      <c r="Z43">
        <v>160.45000000000002</v>
      </c>
      <c r="AA43">
        <v>166.3</v>
      </c>
      <c r="AB43">
        <v>172.24</v>
      </c>
      <c r="AC43">
        <v>178.273</v>
      </c>
      <c r="AD43">
        <v>184.4</v>
      </c>
      <c r="AE43">
        <v>190.62200000000001</v>
      </c>
      <c r="AF43">
        <v>196.94</v>
      </c>
      <c r="AG43">
        <v>203.357</v>
      </c>
      <c r="AH43">
        <v>209.87299999999999</v>
      </c>
      <c r="AI43">
        <v>216.49</v>
      </c>
      <c r="AJ43">
        <v>223.21</v>
      </c>
      <c r="AK43">
        <v>230.03399999999999</v>
      </c>
      <c r="AL43">
        <v>236.964</v>
      </c>
      <c r="AM43">
        <v>244.00200000000001</v>
      </c>
      <c r="AN43">
        <v>251.149</v>
      </c>
      <c r="AO43">
        <v>258.40699999999998</v>
      </c>
      <c r="AP43">
        <v>265.77699999999999</v>
      </c>
      <c r="AQ43">
        <v>273.26300000000003</v>
      </c>
      <c r="AR43">
        <v>280.86400000000003</v>
      </c>
      <c r="AS43">
        <v>288.58300000000003</v>
      </c>
      <c r="AT43">
        <v>296.42200000000003</v>
      </c>
      <c r="AU43">
        <v>304.38299999999998</v>
      </c>
      <c r="AV43">
        <v>312.46699999999998</v>
      </c>
      <c r="AW43">
        <v>320.67700000000002</v>
      </c>
      <c r="AX43">
        <v>329.01400000000001</v>
      </c>
      <c r="AY43">
        <v>337.48099999999999</v>
      </c>
      <c r="AZ43">
        <v>346.07900000000001</v>
      </c>
      <c r="BA43">
        <v>354.81</v>
      </c>
      <c r="BB43">
        <v>363.67700000000002</v>
      </c>
      <c r="BC43">
        <v>372.68200000000002</v>
      </c>
      <c r="BD43">
        <v>381.82600000000002</v>
      </c>
      <c r="BE43">
        <v>391.113</v>
      </c>
      <c r="BF43">
        <v>400.54300000000001</v>
      </c>
      <c r="BG43">
        <v>410.12</v>
      </c>
      <c r="BH43">
        <v>419.846</v>
      </c>
      <c r="BI43">
        <v>429.72300000000001</v>
      </c>
    </row>
  </sheetData>
  <mergeCells count="6">
    <mergeCell ref="J4:O4"/>
    <mergeCell ref="B4:C5"/>
    <mergeCell ref="D4:F4"/>
    <mergeCell ref="B6:B17"/>
    <mergeCell ref="H4:I5"/>
    <mergeCell ref="H6:H1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4857-B4FD-4861-93CB-28DF41FA91F0}">
  <dimension ref="A3:P20"/>
  <sheetViews>
    <sheetView topLeftCell="D1" zoomScale="112" zoomScaleNormal="112" workbookViewId="0">
      <selection activeCell="O15" sqref="O15"/>
    </sheetView>
  </sheetViews>
  <sheetFormatPr baseColWidth="10" defaultRowHeight="14.4" x14ac:dyDescent="0.3"/>
  <cols>
    <col min="12" max="12" width="15.5546875" customWidth="1"/>
  </cols>
  <sheetData>
    <row r="3" spans="1:16" x14ac:dyDescent="0.3">
      <c r="B3" s="1" t="s">
        <v>1</v>
      </c>
      <c r="C3" s="1" t="s">
        <v>2</v>
      </c>
      <c r="D3" s="1" t="s">
        <v>8</v>
      </c>
      <c r="E3" s="1" t="s">
        <v>7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</row>
    <row r="4" spans="1:16" x14ac:dyDescent="0.3">
      <c r="A4">
        <v>55</v>
      </c>
      <c r="B4" s="1">
        <v>12.5</v>
      </c>
      <c r="C4" s="1">
        <v>0</v>
      </c>
      <c r="D4" s="12">
        <v>611.88</v>
      </c>
      <c r="E4" s="12">
        <v>104.22499999999999</v>
      </c>
      <c r="H4" s="1">
        <v>640</v>
      </c>
      <c r="I4" s="1">
        <v>105.1549</v>
      </c>
      <c r="L4" s="2">
        <v>60</v>
      </c>
      <c r="M4" s="2">
        <v>13</v>
      </c>
      <c r="N4" s="2">
        <v>4</v>
      </c>
      <c r="O4" s="6">
        <v>609.94000000000005</v>
      </c>
      <c r="P4" s="6">
        <v>116.07</v>
      </c>
    </row>
    <row r="5" spans="1:16" x14ac:dyDescent="0.3">
      <c r="A5">
        <v>60</v>
      </c>
      <c r="B5" s="11">
        <v>12.5</v>
      </c>
      <c r="C5" s="11">
        <v>0</v>
      </c>
      <c r="D5" s="13">
        <v>598.6</v>
      </c>
      <c r="E5" s="13">
        <v>110.21</v>
      </c>
      <c r="H5" s="11">
        <v>626</v>
      </c>
      <c r="I5" s="11">
        <v>111.14</v>
      </c>
      <c r="L5" s="2">
        <v>60</v>
      </c>
      <c r="M5" s="2">
        <v>13.5</v>
      </c>
      <c r="N5" s="2">
        <v>6</v>
      </c>
      <c r="O5" s="6">
        <v>603.16800000000001</v>
      </c>
      <c r="P5" s="6">
        <v>116.19</v>
      </c>
    </row>
    <row r="6" spans="1:16" x14ac:dyDescent="0.3">
      <c r="A6">
        <v>60</v>
      </c>
      <c r="B6" s="1">
        <v>13</v>
      </c>
      <c r="C6" s="1">
        <v>0</v>
      </c>
      <c r="D6" s="12">
        <v>574.1</v>
      </c>
      <c r="E6" s="12">
        <v>105.14</v>
      </c>
      <c r="H6" s="1">
        <v>603.34799999999996</v>
      </c>
      <c r="I6" s="1">
        <v>105.23399999999999</v>
      </c>
      <c r="L6" s="2">
        <v>60</v>
      </c>
      <c r="M6" s="2">
        <v>14</v>
      </c>
      <c r="N6" s="2">
        <v>10</v>
      </c>
      <c r="O6" s="6">
        <v>613.52200000000005</v>
      </c>
      <c r="P6" s="6">
        <v>121.5</v>
      </c>
    </row>
    <row r="7" spans="1:16" x14ac:dyDescent="0.3">
      <c r="A7">
        <v>60</v>
      </c>
      <c r="B7" s="1">
        <v>13</v>
      </c>
      <c r="C7" s="1">
        <v>2</v>
      </c>
      <c r="D7" s="12">
        <v>592.03</v>
      </c>
      <c r="E7" s="12">
        <v>110.56</v>
      </c>
      <c r="H7" s="1">
        <v>620.976</v>
      </c>
      <c r="I7" s="1">
        <v>110.77</v>
      </c>
    </row>
    <row r="8" spans="1:16" x14ac:dyDescent="0.3">
      <c r="A8">
        <v>60</v>
      </c>
      <c r="B8" s="14">
        <v>13</v>
      </c>
      <c r="C8" s="14">
        <v>4</v>
      </c>
      <c r="D8" s="15">
        <v>609.94000000000005</v>
      </c>
      <c r="E8" s="15">
        <v>116.07</v>
      </c>
      <c r="H8" s="1">
        <v>638.58699999999999</v>
      </c>
      <c r="I8" s="1">
        <v>116.39</v>
      </c>
    </row>
    <row r="9" spans="1:16" x14ac:dyDescent="0.3">
      <c r="A9">
        <v>60</v>
      </c>
      <c r="B9" s="1">
        <v>13.5</v>
      </c>
      <c r="C9" s="1">
        <v>2</v>
      </c>
      <c r="D9" s="12">
        <v>568.27</v>
      </c>
      <c r="E9" s="12">
        <v>105.53</v>
      </c>
      <c r="H9" s="1">
        <v>597.27890000000002</v>
      </c>
      <c r="I9" s="1">
        <v>107.10599999999999</v>
      </c>
    </row>
    <row r="10" spans="1:16" x14ac:dyDescent="0.3">
      <c r="A10">
        <v>60</v>
      </c>
      <c r="B10" s="1">
        <v>13.5</v>
      </c>
      <c r="C10" s="1">
        <v>4</v>
      </c>
      <c r="D10" s="12">
        <v>585.76499999999999</v>
      </c>
      <c r="E10" s="12">
        <v>110.83</v>
      </c>
      <c r="H10" s="1">
        <v>614.49800000000005</v>
      </c>
      <c r="I10" s="1">
        <v>112.506</v>
      </c>
    </row>
    <row r="11" spans="1:16" x14ac:dyDescent="0.3">
      <c r="A11">
        <v>60</v>
      </c>
      <c r="B11" s="14">
        <v>13.5</v>
      </c>
      <c r="C11" s="14">
        <v>6</v>
      </c>
      <c r="D11" s="15">
        <v>603.16800000000001</v>
      </c>
      <c r="E11" s="15">
        <v>116.19</v>
      </c>
      <c r="H11" s="1">
        <v>631.55999999999995</v>
      </c>
      <c r="I11" s="1">
        <v>117.96599999999999</v>
      </c>
    </row>
    <row r="12" spans="1:16" x14ac:dyDescent="0.3">
      <c r="A12">
        <v>60</v>
      </c>
      <c r="B12" s="1">
        <v>14</v>
      </c>
      <c r="C12" s="1">
        <v>0</v>
      </c>
      <c r="D12" s="12">
        <v>528.64800000000002</v>
      </c>
      <c r="E12" s="12">
        <v>95.768600000000006</v>
      </c>
      <c r="H12" s="1">
        <v>559.32267000000002</v>
      </c>
      <c r="I12" s="1">
        <v>98.573300000000003</v>
      </c>
    </row>
    <row r="13" spans="1:16" x14ac:dyDescent="0.3">
      <c r="A13">
        <v>60</v>
      </c>
      <c r="B13" s="1">
        <v>14</v>
      </c>
      <c r="C13" s="1">
        <v>2</v>
      </c>
      <c r="D13" s="12">
        <v>545.76</v>
      </c>
      <c r="E13" s="12">
        <v>100.77</v>
      </c>
      <c r="H13" s="1">
        <v>576.20799999999997</v>
      </c>
      <c r="I13" s="1">
        <v>103.688</v>
      </c>
    </row>
    <row r="14" spans="1:16" x14ac:dyDescent="0.3">
      <c r="A14">
        <v>60</v>
      </c>
      <c r="B14" s="1">
        <v>14</v>
      </c>
      <c r="C14" s="1">
        <v>4</v>
      </c>
      <c r="D14" s="12">
        <v>562.86</v>
      </c>
      <c r="E14" s="12">
        <v>105.575</v>
      </c>
      <c r="H14" s="1">
        <v>593.05769999999995</v>
      </c>
      <c r="I14" s="1">
        <v>108.90600000000001</v>
      </c>
    </row>
    <row r="15" spans="1:16" x14ac:dyDescent="0.3">
      <c r="A15">
        <v>60</v>
      </c>
      <c r="B15" s="1">
        <v>14</v>
      </c>
      <c r="C15" s="1">
        <v>6</v>
      </c>
      <c r="D15" s="12">
        <v>579.9</v>
      </c>
      <c r="E15" s="12">
        <v>111.04</v>
      </c>
      <c r="H15" s="1">
        <v>609.803</v>
      </c>
      <c r="I15" s="1">
        <v>114.1889</v>
      </c>
    </row>
    <row r="16" spans="1:16" x14ac:dyDescent="0.3">
      <c r="A16">
        <v>60</v>
      </c>
      <c r="B16" s="11">
        <v>14</v>
      </c>
      <c r="C16" s="11">
        <v>8</v>
      </c>
      <c r="D16" s="13">
        <v>596.76</v>
      </c>
      <c r="E16" s="13">
        <v>116.24</v>
      </c>
      <c r="H16" s="11">
        <v>626.34956</v>
      </c>
      <c r="I16" s="11">
        <v>119.506072</v>
      </c>
    </row>
    <row r="17" spans="1:9" x14ac:dyDescent="0.3">
      <c r="A17">
        <v>60</v>
      </c>
      <c r="B17" s="14">
        <v>14</v>
      </c>
      <c r="C17" s="14">
        <v>10</v>
      </c>
      <c r="D17" s="15">
        <v>613.52200000000005</v>
      </c>
      <c r="E17" s="15">
        <v>121.5</v>
      </c>
      <c r="H17" s="1">
        <v>642.86800000000005</v>
      </c>
      <c r="I17" s="1">
        <v>124.9</v>
      </c>
    </row>
    <row r="18" spans="1:9" x14ac:dyDescent="0.3">
      <c r="B18" s="1"/>
      <c r="C18" s="1"/>
      <c r="D18" s="1"/>
      <c r="E18" s="1"/>
    </row>
    <row r="19" spans="1:9" x14ac:dyDescent="0.3">
      <c r="B19" s="1"/>
      <c r="C19" s="1"/>
      <c r="D19" s="1"/>
      <c r="E19" s="1"/>
    </row>
    <row r="20" spans="1:9" x14ac:dyDescent="0.3">
      <c r="B20" s="1"/>
      <c r="C20" s="1"/>
      <c r="D20" s="1"/>
      <c r="E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D806-A9BE-4AD0-9A90-4D6047C52626}">
  <dimension ref="B3:P44"/>
  <sheetViews>
    <sheetView topLeftCell="A19" workbookViewId="0">
      <selection activeCell="N33" sqref="N33"/>
    </sheetView>
  </sheetViews>
  <sheetFormatPr baseColWidth="10" defaultRowHeight="14.4" x14ac:dyDescent="0.3"/>
  <sheetData>
    <row r="3" spans="2:16" x14ac:dyDescent="0.3">
      <c r="B3" s="1" t="s">
        <v>6</v>
      </c>
      <c r="C3">
        <v>864.826083122</v>
      </c>
      <c r="D3">
        <v>771.18471929099996</v>
      </c>
      <c r="E3">
        <v>691.99901793699996</v>
      </c>
      <c r="F3">
        <v>623.58498486799999</v>
      </c>
      <c r="G3">
        <v>511.61769944700001</v>
      </c>
      <c r="H3">
        <v>423.34673504099999</v>
      </c>
      <c r="I3">
        <v>351.338765927</v>
      </c>
      <c r="J3">
        <v>290.90920175100001</v>
      </c>
      <c r="K3">
        <v>239.071877</v>
      </c>
      <c r="L3">
        <v>193.970684772</v>
      </c>
      <c r="M3">
        <v>154.32977680600001</v>
      </c>
      <c r="N3">
        <v>119.039682885</v>
      </c>
      <c r="O3">
        <v>87.510837828600003</v>
      </c>
      <c r="P3">
        <v>59.057677075000001</v>
      </c>
    </row>
    <row r="5" spans="2:16" x14ac:dyDescent="0.3">
      <c r="B5" s="1" t="s">
        <v>7</v>
      </c>
      <c r="C5">
        <v>79.934176066600003</v>
      </c>
      <c r="D5">
        <v>131.756994948</v>
      </c>
      <c r="E5">
        <v>169.69833040899999</v>
      </c>
      <c r="F5">
        <v>198.35363031399999</v>
      </c>
      <c r="G5">
        <v>238.25766615399999</v>
      </c>
      <c r="H5">
        <v>264.23228405600003</v>
      </c>
      <c r="I5">
        <v>282.15333893899998</v>
      </c>
      <c r="J5">
        <v>294.87595388199998</v>
      </c>
      <c r="K5">
        <v>303.986247736</v>
      </c>
      <c r="L5">
        <v>310.47098728399999</v>
      </c>
      <c r="M5">
        <v>315.03531260800003</v>
      </c>
      <c r="N5">
        <v>318.125722779</v>
      </c>
      <c r="O5">
        <v>320.129228571</v>
      </c>
      <c r="P5">
        <v>321.28163959900002</v>
      </c>
    </row>
    <row r="7" spans="2:16" x14ac:dyDescent="0.3">
      <c r="C7">
        <v>25</v>
      </c>
    </row>
    <row r="8" spans="2:16" x14ac:dyDescent="0.3">
      <c r="C8">
        <v>50</v>
      </c>
    </row>
    <row r="9" spans="2:16" x14ac:dyDescent="0.3">
      <c r="C9">
        <v>75</v>
      </c>
    </row>
    <row r="10" spans="2:16" x14ac:dyDescent="0.3">
      <c r="C10">
        <v>100</v>
      </c>
    </row>
    <row r="11" spans="2:16" x14ac:dyDescent="0.3">
      <c r="C11">
        <v>150</v>
      </c>
    </row>
    <row r="12" spans="2:16" x14ac:dyDescent="0.3">
      <c r="C12">
        <v>200</v>
      </c>
    </row>
    <row r="13" spans="2:16" x14ac:dyDescent="0.3">
      <c r="C13">
        <v>250</v>
      </c>
    </row>
    <row r="14" spans="2:16" x14ac:dyDescent="0.3">
      <c r="C14">
        <v>300</v>
      </c>
    </row>
    <row r="15" spans="2:16" x14ac:dyDescent="0.3">
      <c r="C15">
        <v>350</v>
      </c>
    </row>
    <row r="16" spans="2:16" x14ac:dyDescent="0.3">
      <c r="C16">
        <v>400</v>
      </c>
    </row>
    <row r="17" spans="2:16" x14ac:dyDescent="0.3">
      <c r="C17">
        <v>450</v>
      </c>
    </row>
    <row r="18" spans="2:16" x14ac:dyDescent="0.3">
      <c r="C18">
        <v>500</v>
      </c>
    </row>
    <row r="19" spans="2:16" x14ac:dyDescent="0.3">
      <c r="C19">
        <v>550</v>
      </c>
    </row>
    <row r="20" spans="2:16" x14ac:dyDescent="0.3">
      <c r="C20">
        <v>600</v>
      </c>
    </row>
    <row r="25" spans="2:16" x14ac:dyDescent="0.3">
      <c r="B25" t="s">
        <v>19</v>
      </c>
      <c r="C25">
        <v>699.26349565500004</v>
      </c>
      <c r="D25">
        <v>550.78516955999999</v>
      </c>
      <c r="E25">
        <v>496.93046555799998</v>
      </c>
      <c r="F25">
        <v>450.30996955900002</v>
      </c>
      <c r="G25">
        <v>373.19905735600003</v>
      </c>
      <c r="H25">
        <v>311.34693206499998</v>
      </c>
      <c r="I25">
        <v>260.08892945899998</v>
      </c>
      <c r="J25">
        <v>216.63712722899999</v>
      </c>
      <c r="K25">
        <v>179.18238833199999</v>
      </c>
      <c r="L25">
        <v>146.469503651</v>
      </c>
      <c r="M25">
        <v>117.627657949</v>
      </c>
      <c r="N25">
        <v>91.952106192499997</v>
      </c>
      <c r="O25">
        <v>68.953154519400002</v>
      </c>
      <c r="P25">
        <v>48.2219671772</v>
      </c>
    </row>
    <row r="27" spans="2:16" x14ac:dyDescent="0.3">
      <c r="B27" t="s">
        <v>20</v>
      </c>
      <c r="C27">
        <v>0.25688186405000002</v>
      </c>
      <c r="D27">
        <v>84.772645828199998</v>
      </c>
      <c r="E27">
        <v>109.996953499</v>
      </c>
      <c r="F27">
        <v>129.57319302299999</v>
      </c>
      <c r="G27">
        <v>157.728739053</v>
      </c>
      <c r="H27">
        <v>176.619225575</v>
      </c>
      <c r="I27">
        <v>189.69633080599999</v>
      </c>
      <c r="J27">
        <v>199.00979443</v>
      </c>
      <c r="K27">
        <v>205.61927177699999</v>
      </c>
      <c r="L27">
        <v>210.37663521900001</v>
      </c>
      <c r="M27">
        <v>213.77751167</v>
      </c>
      <c r="N27">
        <v>216.106013123</v>
      </c>
      <c r="O27">
        <v>217.71545399600001</v>
      </c>
      <c r="P27">
        <v>218.719132065</v>
      </c>
    </row>
    <row r="31" spans="2:16" x14ac:dyDescent="0.3">
      <c r="C31">
        <v>25</v>
      </c>
    </row>
    <row r="32" spans="2:16" x14ac:dyDescent="0.3">
      <c r="C32">
        <v>50</v>
      </c>
    </row>
    <row r="33" spans="3:3" x14ac:dyDescent="0.3">
      <c r="C33">
        <v>75</v>
      </c>
    </row>
    <row r="34" spans="3:3" x14ac:dyDescent="0.3">
      <c r="C34">
        <v>100</v>
      </c>
    </row>
    <row r="35" spans="3:3" x14ac:dyDescent="0.3">
      <c r="C35">
        <v>150</v>
      </c>
    </row>
    <row r="36" spans="3:3" x14ac:dyDescent="0.3">
      <c r="C36">
        <v>200</v>
      </c>
    </row>
    <row r="37" spans="3:3" x14ac:dyDescent="0.3">
      <c r="C37">
        <v>250</v>
      </c>
    </row>
    <row r="38" spans="3:3" x14ac:dyDescent="0.3">
      <c r="C38">
        <v>300</v>
      </c>
    </row>
    <row r="39" spans="3:3" x14ac:dyDescent="0.3">
      <c r="C39">
        <v>350</v>
      </c>
    </row>
    <row r="40" spans="3:3" x14ac:dyDescent="0.3">
      <c r="C40">
        <v>400</v>
      </c>
    </row>
    <row r="41" spans="3:3" x14ac:dyDescent="0.3">
      <c r="C41">
        <v>450</v>
      </c>
    </row>
    <row r="42" spans="3:3" x14ac:dyDescent="0.3">
      <c r="C42">
        <v>500</v>
      </c>
    </row>
    <row r="43" spans="3:3" x14ac:dyDescent="0.3">
      <c r="C43">
        <v>550</v>
      </c>
    </row>
    <row r="44" spans="3:3" x14ac:dyDescent="0.3">
      <c r="C44">
        <v>600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459D-15A2-4361-B4C3-225A9AD83EDE}">
  <dimension ref="C2:Q26"/>
  <sheetViews>
    <sheetView zoomScale="80" zoomScaleNormal="80" workbookViewId="0">
      <selection activeCell="B5" sqref="B5"/>
    </sheetView>
  </sheetViews>
  <sheetFormatPr baseColWidth="10" defaultRowHeight="14.4" x14ac:dyDescent="0.3"/>
  <sheetData>
    <row r="2" spans="3:17" x14ac:dyDescent="0.3">
      <c r="C2" s="8"/>
      <c r="D2" s="8"/>
      <c r="E2" s="36" t="s">
        <v>18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3:17" x14ac:dyDescent="0.3">
      <c r="C3" s="8"/>
      <c r="D3" s="32"/>
      <c r="E3" s="1">
        <v>14</v>
      </c>
      <c r="F3" s="1">
        <v>14.5</v>
      </c>
      <c r="G3" s="1">
        <v>15</v>
      </c>
      <c r="H3" s="1">
        <v>15.5</v>
      </c>
      <c r="I3" s="1">
        <v>16</v>
      </c>
      <c r="J3" s="1">
        <v>16.5</v>
      </c>
      <c r="K3" s="1">
        <v>17</v>
      </c>
      <c r="L3" s="1">
        <v>17.5</v>
      </c>
      <c r="M3" s="1">
        <v>18</v>
      </c>
      <c r="N3" s="1">
        <v>18.5</v>
      </c>
      <c r="O3" s="1">
        <v>19</v>
      </c>
      <c r="P3" s="1">
        <v>19.5</v>
      </c>
      <c r="Q3" s="1">
        <v>20</v>
      </c>
    </row>
    <row r="4" spans="3:17" x14ac:dyDescent="0.3">
      <c r="C4" s="33" t="s">
        <v>2</v>
      </c>
      <c r="D4" s="1">
        <v>-55</v>
      </c>
      <c r="E4" s="1">
        <v>206.97044658600001</v>
      </c>
      <c r="F4" s="1">
        <v>196.08518615899999</v>
      </c>
      <c r="G4" s="1">
        <v>186.158270539</v>
      </c>
      <c r="H4" s="1">
        <v>175.91784063599999</v>
      </c>
      <c r="I4" s="1">
        <v>164.22295245000001</v>
      </c>
      <c r="J4" s="1">
        <v>156.64756832800001</v>
      </c>
      <c r="K4" s="1">
        <v>149.85360366399999</v>
      </c>
      <c r="L4" s="1">
        <v>140.750671278</v>
      </c>
      <c r="M4" s="1">
        <v>133.896009529</v>
      </c>
      <c r="N4" s="1">
        <v>128.467198991</v>
      </c>
      <c r="O4" s="1">
        <v>122.55267277900001</v>
      </c>
      <c r="P4" s="1">
        <v>115.147092941</v>
      </c>
      <c r="Q4" s="1">
        <v>111.839650111</v>
      </c>
    </row>
    <row r="5" spans="3:17" x14ac:dyDescent="0.3">
      <c r="C5" s="33"/>
      <c r="D5" s="1">
        <v>-50</v>
      </c>
      <c r="E5" s="1">
        <v>231.107220759</v>
      </c>
      <c r="F5" s="1">
        <v>219.09984892700001</v>
      </c>
      <c r="G5" s="1">
        <v>208.296405978</v>
      </c>
      <c r="H5" s="1">
        <v>197.29369796899999</v>
      </c>
      <c r="I5" s="1">
        <v>184.794257617</v>
      </c>
      <c r="J5" s="1">
        <v>176.298568039</v>
      </c>
      <c r="K5" s="1">
        <v>168.68294171900001</v>
      </c>
      <c r="L5" s="1">
        <v>158.95559642500001</v>
      </c>
      <c r="M5" s="1">
        <v>151.35442738399999</v>
      </c>
      <c r="N5" s="1">
        <v>145.18205705299999</v>
      </c>
      <c r="O5" s="1">
        <v>138.617085127</v>
      </c>
      <c r="P5" s="1">
        <v>130.736093504</v>
      </c>
      <c r="Q5" s="1">
        <v>126.65721739</v>
      </c>
    </row>
    <row r="6" spans="3:17" x14ac:dyDescent="0.3">
      <c r="C6" s="33"/>
      <c r="D6" s="1">
        <v>-45</v>
      </c>
      <c r="E6" s="1">
        <v>260.695536731</v>
      </c>
      <c r="F6" s="1">
        <v>247.36616612899999</v>
      </c>
      <c r="G6" s="1">
        <v>235.489095139</v>
      </c>
      <c r="H6" s="1">
        <v>223.527322774</v>
      </c>
      <c r="I6" s="1">
        <v>210.04225030999999</v>
      </c>
      <c r="J6" s="1">
        <v>200.46094274800001</v>
      </c>
      <c r="K6" s="1">
        <v>191.86413195700001</v>
      </c>
      <c r="L6" s="1">
        <v>181.34915044600001</v>
      </c>
      <c r="M6" s="1">
        <v>172.85644389500001</v>
      </c>
      <c r="N6" s="1">
        <v>165.800002401</v>
      </c>
      <c r="O6" s="1">
        <v>158.447561976</v>
      </c>
      <c r="P6" s="1">
        <v>149.952479651</v>
      </c>
      <c r="Q6" s="1">
        <v>144.98485128799999</v>
      </c>
    </row>
    <row r="7" spans="3:17" x14ac:dyDescent="0.3">
      <c r="C7" s="33"/>
      <c r="D7" s="1">
        <v>-40</v>
      </c>
      <c r="E7" s="1">
        <v>295.71795234799998</v>
      </c>
      <c r="F7" s="1">
        <v>280.86829936800001</v>
      </c>
      <c r="G7" s="1">
        <v>267.72164157399999</v>
      </c>
      <c r="H7" s="1">
        <v>254.605415865</v>
      </c>
      <c r="I7" s="1">
        <v>239.95468935</v>
      </c>
      <c r="J7" s="1">
        <v>229.123480129</v>
      </c>
      <c r="K7" s="1">
        <v>219.38681421800001</v>
      </c>
      <c r="L7" s="1">
        <v>207.92175558</v>
      </c>
      <c r="M7" s="1">
        <v>198.39341056500001</v>
      </c>
      <c r="N7" s="1">
        <v>190.312887703</v>
      </c>
      <c r="O7" s="1">
        <v>182.03650669000001</v>
      </c>
      <c r="P7" s="1">
        <v>172.78900406299999</v>
      </c>
      <c r="Q7" s="1">
        <v>166.815916085</v>
      </c>
    </row>
    <row r="8" spans="3:17" x14ac:dyDescent="0.3">
      <c r="C8" s="33"/>
      <c r="D8" s="1">
        <v>-35</v>
      </c>
      <c r="E8" s="1">
        <v>336.14463857700002</v>
      </c>
      <c r="F8" s="1">
        <v>319.57956510499997</v>
      </c>
      <c r="G8" s="1">
        <v>304.96967288600001</v>
      </c>
      <c r="H8" s="1">
        <v>290.50563870299999</v>
      </c>
      <c r="I8" s="1">
        <v>274.51077704599999</v>
      </c>
      <c r="J8" s="1">
        <v>262.26723564100001</v>
      </c>
      <c r="K8" s="1">
        <v>251.233524456</v>
      </c>
      <c r="L8" s="1">
        <v>238.657274707</v>
      </c>
      <c r="M8" s="1">
        <v>227.949652512</v>
      </c>
      <c r="N8" s="1">
        <v>218.70700361999999</v>
      </c>
      <c r="O8" s="1">
        <v>209.37105385300001</v>
      </c>
      <c r="P8" s="1">
        <v>199.23407206300001</v>
      </c>
      <c r="Q8" s="1">
        <v>192.13940027500001</v>
      </c>
    </row>
    <row r="9" spans="3:17" x14ac:dyDescent="0.3">
      <c r="C9" s="33"/>
      <c r="D9" s="1">
        <v>-30</v>
      </c>
      <c r="E9" s="1">
        <v>381.91654630900001</v>
      </c>
      <c r="F9" s="1">
        <v>363.44745391700002</v>
      </c>
      <c r="G9" s="1">
        <v>347.18697563000001</v>
      </c>
      <c r="H9" s="1">
        <v>331.18629034999998</v>
      </c>
      <c r="I9" s="1">
        <v>313.67356195500003</v>
      </c>
      <c r="J9" s="1">
        <v>299.85923556</v>
      </c>
      <c r="K9" s="1">
        <v>287.37445423999998</v>
      </c>
      <c r="L9" s="1">
        <v>273.52874858600001</v>
      </c>
      <c r="M9" s="1">
        <v>261.50105174499998</v>
      </c>
      <c r="N9" s="1">
        <v>250.96042572600001</v>
      </c>
      <c r="O9" s="1">
        <v>240.431610017</v>
      </c>
      <c r="P9" s="1">
        <v>229.269387352</v>
      </c>
      <c r="Q9" s="1">
        <v>220.93875104700001</v>
      </c>
    </row>
    <row r="10" spans="3:17" x14ac:dyDescent="0.3">
      <c r="C10" s="33"/>
      <c r="D10" s="1">
        <v>-25</v>
      </c>
      <c r="E10" s="1">
        <v>432.93962304399997</v>
      </c>
      <c r="F10" s="1">
        <v>412.38628929599997</v>
      </c>
      <c r="G10" s="1">
        <v>394.29554140800002</v>
      </c>
      <c r="H10" s="1">
        <v>376.57521283800003</v>
      </c>
      <c r="I10" s="1">
        <v>357.37739885600001</v>
      </c>
      <c r="J10" s="1">
        <v>341.83989503599997</v>
      </c>
      <c r="K10" s="1">
        <v>327.75501827900001</v>
      </c>
      <c r="L10" s="1">
        <v>312.48609107499999</v>
      </c>
      <c r="M10" s="1">
        <v>299.00141450500001</v>
      </c>
      <c r="N10" s="1">
        <v>287.03077908199998</v>
      </c>
      <c r="O10" s="1">
        <v>275.17963712300002</v>
      </c>
      <c r="P10" s="1">
        <v>262.85996628599997</v>
      </c>
      <c r="Q10" s="1">
        <v>253.18212330899999</v>
      </c>
    </row>
    <row r="11" spans="3:17" x14ac:dyDescent="0.3">
      <c r="C11" s="33"/>
      <c r="D11" s="1">
        <v>-20</v>
      </c>
      <c r="E11" s="1">
        <v>488.86179494200002</v>
      </c>
      <c r="F11" s="1">
        <v>466.111346535</v>
      </c>
      <c r="G11" s="1">
        <v>446.06659468499998</v>
      </c>
      <c r="H11" s="1">
        <v>426.48726246199999</v>
      </c>
      <c r="I11" s="1">
        <v>405.46911952300002</v>
      </c>
      <c r="J11" s="1">
        <v>388.082109597</v>
      </c>
      <c r="K11" s="1">
        <v>372.266203561</v>
      </c>
      <c r="L11" s="1">
        <v>355.43543411899998</v>
      </c>
      <c r="M11" s="1">
        <v>340.36899938200003</v>
      </c>
      <c r="N11" s="1">
        <v>326.84575749700002</v>
      </c>
      <c r="O11" s="1">
        <v>313.55009349099998</v>
      </c>
      <c r="P11" s="1">
        <v>299.94701009200003</v>
      </c>
      <c r="Q11" s="1">
        <v>288.81562015600002</v>
      </c>
    </row>
    <row r="12" spans="3:17" x14ac:dyDescent="0.3">
      <c r="C12" s="33"/>
      <c r="D12" s="1">
        <v>-15</v>
      </c>
      <c r="E12" s="1">
        <v>548.48170724600004</v>
      </c>
      <c r="F12" s="1">
        <v>523.54984439999998</v>
      </c>
      <c r="G12" s="1">
        <v>501.54328235600002</v>
      </c>
      <c r="H12" s="1">
        <v>480.07508631299999</v>
      </c>
      <c r="I12" s="1">
        <v>457.20710455800003</v>
      </c>
      <c r="J12" s="1">
        <v>437.93992935699998</v>
      </c>
      <c r="K12" s="1">
        <v>420.34452069399998</v>
      </c>
      <c r="L12" s="1">
        <v>401.89093403800001</v>
      </c>
      <c r="M12" s="1">
        <v>385.18522957699997</v>
      </c>
      <c r="N12" s="1">
        <v>370.04957476200002</v>
      </c>
      <c r="O12" s="1">
        <v>355.23903452799999</v>
      </c>
      <c r="P12" s="1">
        <v>340.27281657499998</v>
      </c>
      <c r="Q12" s="1">
        <v>327.61802583299999</v>
      </c>
    </row>
    <row r="13" spans="3:17" x14ac:dyDescent="0.3">
      <c r="C13" s="33"/>
      <c r="D13" s="1">
        <v>-10</v>
      </c>
      <c r="E13" s="1">
        <v>610.49304088700001</v>
      </c>
      <c r="F13" s="1">
        <v>583.43653979099997</v>
      </c>
      <c r="G13" s="1">
        <v>559.51681813899995</v>
      </c>
      <c r="H13" s="1">
        <v>536.18166405199997</v>
      </c>
      <c r="I13" s="1">
        <v>511.49061741000003</v>
      </c>
      <c r="J13" s="1">
        <v>490.36301322200001</v>
      </c>
      <c r="K13" s="1">
        <v>471.00825059300001</v>
      </c>
      <c r="L13" s="1">
        <v>450.93156630300001</v>
      </c>
      <c r="M13" s="1">
        <v>432.58790877000001</v>
      </c>
      <c r="N13" s="1">
        <v>415.83833528000002</v>
      </c>
      <c r="O13" s="1">
        <v>399.503889431</v>
      </c>
      <c r="P13" s="1">
        <v>383.14763486599998</v>
      </c>
      <c r="Q13" s="1">
        <v>368.95534563799998</v>
      </c>
    </row>
    <row r="14" spans="3:17" x14ac:dyDescent="0.3">
      <c r="C14" s="33"/>
      <c r="D14" s="1">
        <v>-5</v>
      </c>
      <c r="E14" s="1">
        <v>673.79471196600002</v>
      </c>
      <c r="F14" s="1">
        <v>644.73048279199998</v>
      </c>
      <c r="G14" s="1">
        <v>618.98812721700006</v>
      </c>
      <c r="H14" s="1">
        <v>593.82312777000004</v>
      </c>
      <c r="I14" s="1">
        <v>567.36612674200001</v>
      </c>
      <c r="J14" s="1">
        <v>544.41694162199997</v>
      </c>
      <c r="K14" s="1">
        <v>523.34579381399999</v>
      </c>
      <c r="L14" s="1">
        <v>501.66963762799998</v>
      </c>
      <c r="M14" s="1">
        <v>481.71651468499999</v>
      </c>
      <c r="N14" s="1">
        <v>463.37405344299998</v>
      </c>
      <c r="O14" s="1">
        <v>445.53871555199999</v>
      </c>
      <c r="P14" s="1">
        <v>427.79402026600002</v>
      </c>
      <c r="Q14" s="1">
        <v>412.07898171099998</v>
      </c>
    </row>
    <row r="15" spans="3:17" x14ac:dyDescent="0.3">
      <c r="C15" s="33"/>
      <c r="D15" s="1">
        <v>0</v>
      </c>
      <c r="E15" s="1">
        <v>735.69519245900005</v>
      </c>
      <c r="F15" s="1">
        <v>704.98875137799996</v>
      </c>
      <c r="G15" s="1">
        <v>677.87037113899999</v>
      </c>
      <c r="H15" s="1">
        <v>651.19423678099997</v>
      </c>
      <c r="I15" s="1">
        <v>623.33082908400002</v>
      </c>
      <c r="J15" s="1">
        <v>598.845361723</v>
      </c>
      <c r="K15" s="1">
        <v>576.35893390299998</v>
      </c>
      <c r="L15" s="1">
        <v>553.34231289399997</v>
      </c>
      <c r="M15" s="1">
        <v>531.93121028999997</v>
      </c>
      <c r="N15" s="1">
        <v>512.03626923299998</v>
      </c>
      <c r="O15" s="1">
        <v>492.72942972200002</v>
      </c>
      <c r="P15" s="1">
        <v>473.59855482699999</v>
      </c>
      <c r="Q15" s="1">
        <v>456.39522296899997</v>
      </c>
    </row>
    <row r="16" spans="3:17" x14ac:dyDescent="0.3">
      <c r="C16" s="33"/>
      <c r="D16" s="1">
        <v>5</v>
      </c>
      <c r="E16" s="1">
        <v>797.31243100999995</v>
      </c>
      <c r="F16" s="1">
        <v>764.71152781800004</v>
      </c>
      <c r="G16" s="1">
        <v>736.05018876700001</v>
      </c>
      <c r="H16" s="1">
        <v>707.67744119300005</v>
      </c>
      <c r="I16" s="1">
        <v>678.30985467300002</v>
      </c>
      <c r="J16" s="1">
        <v>652.26177471300002</v>
      </c>
      <c r="K16" s="1">
        <v>628.36222827699999</v>
      </c>
      <c r="L16" s="1">
        <v>604.00965355100004</v>
      </c>
      <c r="M16" s="1">
        <v>581.26884681399997</v>
      </c>
      <c r="N16" s="1">
        <v>560.04462224600002</v>
      </c>
      <c r="O16" s="1">
        <v>539.59156679</v>
      </c>
      <c r="P16" s="1">
        <v>519.30918763099999</v>
      </c>
      <c r="Q16" s="1">
        <v>500.81131010199999</v>
      </c>
    </row>
    <row r="17" spans="3:17" x14ac:dyDescent="0.3">
      <c r="C17" s="33"/>
      <c r="D17" s="1">
        <v>10</v>
      </c>
      <c r="E17" s="1">
        <v>858.43441437000001</v>
      </c>
      <c r="F17" s="1">
        <v>824.09197246300005</v>
      </c>
      <c r="G17" s="1">
        <v>794.046064914</v>
      </c>
      <c r="H17" s="1">
        <v>763.99574449600004</v>
      </c>
      <c r="I17" s="1">
        <v>733.18321772199999</v>
      </c>
      <c r="J17" s="1">
        <v>705.53573584699996</v>
      </c>
      <c r="K17" s="1">
        <v>680.24715789899994</v>
      </c>
      <c r="L17" s="1">
        <v>654.55404068099995</v>
      </c>
      <c r="M17" s="1">
        <v>630.43347847400003</v>
      </c>
      <c r="N17" s="1">
        <v>607.702665615</v>
      </c>
      <c r="O17" s="1">
        <v>585.99138761699999</v>
      </c>
      <c r="P17" s="1">
        <v>564.45149686299999</v>
      </c>
      <c r="Q17" s="1">
        <v>544.63487721700005</v>
      </c>
    </row>
    <row r="18" spans="3:17" x14ac:dyDescent="0.3">
      <c r="C18" s="33"/>
      <c r="D18" s="1">
        <v>15</v>
      </c>
      <c r="E18" s="1">
        <v>917.34698189100004</v>
      </c>
      <c r="F18" s="1">
        <v>881.26288797899997</v>
      </c>
      <c r="G18" s="1">
        <v>849.99274674200001</v>
      </c>
      <c r="H18" s="1">
        <v>818.43471255600002</v>
      </c>
      <c r="I18" s="1">
        <v>786.49430961999997</v>
      </c>
      <c r="J18" s="1">
        <v>757.52261982699997</v>
      </c>
      <c r="K18" s="1">
        <v>731.20365727299998</v>
      </c>
      <c r="L18" s="1">
        <v>704.46689972399997</v>
      </c>
      <c r="M18" s="1">
        <v>679.16374166200001</v>
      </c>
      <c r="N18" s="1">
        <v>655.00410010999997</v>
      </c>
      <c r="O18" s="1">
        <v>632.17070860800004</v>
      </c>
      <c r="P18" s="1">
        <v>609.41831365099995</v>
      </c>
      <c r="Q18" s="1">
        <v>588.34398874500005</v>
      </c>
    </row>
    <row r="19" spans="3:17" x14ac:dyDescent="0.3">
      <c r="C19" s="33"/>
      <c r="D19" s="1">
        <v>20</v>
      </c>
      <c r="E19" s="1">
        <v>978.14554028299995</v>
      </c>
      <c r="F19" s="1">
        <v>939.90643802600005</v>
      </c>
      <c r="G19" s="1">
        <v>906.85968971299997</v>
      </c>
      <c r="H19" s="1">
        <v>873.213183265</v>
      </c>
      <c r="I19" s="1">
        <v>839.52539077400002</v>
      </c>
      <c r="J19" s="1">
        <v>808.70701506800003</v>
      </c>
      <c r="K19" s="1">
        <v>780.85772655999995</v>
      </c>
      <c r="L19" s="1">
        <v>752.78399045799995</v>
      </c>
      <c r="M19" s="1">
        <v>726.21612393299995</v>
      </c>
      <c r="N19" s="1">
        <v>700.54225372999997</v>
      </c>
      <c r="O19" s="1">
        <v>676.68712045200004</v>
      </c>
      <c r="P19" s="1">
        <v>652.84451734200002</v>
      </c>
      <c r="Q19" s="1">
        <v>630.703727974</v>
      </c>
    </row>
    <row r="20" spans="3:17" x14ac:dyDescent="0.3">
      <c r="C20" s="33"/>
      <c r="D20" s="1">
        <v>25</v>
      </c>
      <c r="E20" s="1">
        <v>1041.35343304</v>
      </c>
      <c r="F20" s="1">
        <v>1000.90658562</v>
      </c>
      <c r="G20" s="1">
        <v>966.01530403100003</v>
      </c>
      <c r="H20" s="1">
        <v>930.19639160500003</v>
      </c>
      <c r="I20" s="1">
        <v>894.67914370000005</v>
      </c>
      <c r="J20" s="1">
        <v>861.94505479999998</v>
      </c>
      <c r="K20" s="1">
        <v>832.40818381700001</v>
      </c>
      <c r="L20" s="1">
        <v>802.78489248899996</v>
      </c>
      <c r="M20" s="1">
        <v>774.75920415400003</v>
      </c>
      <c r="N20" s="1">
        <v>747.21624711599998</v>
      </c>
      <c r="O20" s="1">
        <v>721.968532955</v>
      </c>
      <c r="P20" s="1">
        <v>696.66471088399999</v>
      </c>
      <c r="Q20" s="1">
        <v>673.16394876100003</v>
      </c>
    </row>
    <row r="21" spans="3:17" x14ac:dyDescent="0.3">
      <c r="C21" s="33"/>
      <c r="D21" s="1">
        <v>30</v>
      </c>
      <c r="E21" s="1">
        <v>1106.9650568500001</v>
      </c>
      <c r="F21" s="1">
        <v>1064.25762614</v>
      </c>
      <c r="G21" s="1">
        <v>1027.4511305399999</v>
      </c>
      <c r="H21" s="1">
        <v>989.37661276599999</v>
      </c>
      <c r="I21" s="1">
        <v>951.94777294100004</v>
      </c>
      <c r="J21" s="1">
        <v>917.23881817300003</v>
      </c>
      <c r="K21" s="1">
        <v>885.92631688500001</v>
      </c>
      <c r="L21" s="1">
        <v>854.69405610800004</v>
      </c>
      <c r="M21" s="1">
        <v>825.20255020299999</v>
      </c>
      <c r="N21" s="1">
        <v>795.68310261099998</v>
      </c>
      <c r="O21" s="1">
        <v>768.98813737199998</v>
      </c>
      <c r="P21" s="1">
        <v>742.16216881499997</v>
      </c>
      <c r="Q21" s="1">
        <v>717.27867531000004</v>
      </c>
    </row>
    <row r="22" spans="3:17" x14ac:dyDescent="0.3">
      <c r="C22" s="33"/>
      <c r="D22" s="1">
        <v>35</v>
      </c>
      <c r="E22" s="1">
        <v>1174.9748229500001</v>
      </c>
      <c r="F22" s="1">
        <v>1129.9569420400001</v>
      </c>
      <c r="G22" s="1">
        <v>1091.1644948999999</v>
      </c>
      <c r="H22" s="1">
        <v>1050.75167291</v>
      </c>
      <c r="I22" s="1">
        <v>1011.32702975</v>
      </c>
      <c r="J22" s="1">
        <v>974.58604993599999</v>
      </c>
      <c r="K22" s="1">
        <v>941.40811123499998</v>
      </c>
      <c r="L22" s="1">
        <v>908.50602535600001</v>
      </c>
      <c r="M22" s="1">
        <v>877.53956697900003</v>
      </c>
      <c r="N22" s="1">
        <v>845.93718562499998</v>
      </c>
      <c r="O22" s="1">
        <v>817.73963804599998</v>
      </c>
      <c r="P22" s="1">
        <v>789.33096980300002</v>
      </c>
      <c r="Q22" s="1">
        <v>763.04341726799998</v>
      </c>
    </row>
    <row r="23" spans="3:17" x14ac:dyDescent="0.3">
      <c r="C23" s="33"/>
      <c r="D23" s="1">
        <v>40</v>
      </c>
      <c r="E23" s="1">
        <v>1245.3742682699999</v>
      </c>
      <c r="F23" s="1">
        <v>1197.99402609</v>
      </c>
      <c r="G23" s="1">
        <v>1157.1464928299999</v>
      </c>
      <c r="H23" s="1">
        <v>1114.3140809500001</v>
      </c>
      <c r="I23" s="1">
        <v>1072.8117890999999</v>
      </c>
      <c r="J23" s="1">
        <v>1033.9806831400001</v>
      </c>
      <c r="K23" s="1">
        <v>998.84992563200001</v>
      </c>
      <c r="L23" s="1">
        <v>964.21741968499998</v>
      </c>
      <c r="M23" s="1">
        <v>931.76814532499998</v>
      </c>
      <c r="N23" s="1">
        <v>897.97576344599997</v>
      </c>
      <c r="O23" s="1">
        <v>868.22054812099998</v>
      </c>
      <c r="P23" s="1">
        <v>838.16804565999996</v>
      </c>
      <c r="Q23" s="1">
        <v>810.45547564499998</v>
      </c>
    </row>
    <row r="24" spans="3:17" x14ac:dyDescent="0.3">
      <c r="C24" s="33"/>
      <c r="D24" s="1">
        <v>45</v>
      </c>
      <c r="E24" s="1">
        <v>1318.16256843</v>
      </c>
      <c r="F24" s="1">
        <v>1268.3677708</v>
      </c>
      <c r="G24" s="1">
        <v>1225.3947419399999</v>
      </c>
      <c r="H24" s="1">
        <v>1180.0599471800001</v>
      </c>
      <c r="I24" s="1">
        <v>1136.3952812</v>
      </c>
      <c r="J24" s="1">
        <v>1095.4149807599999</v>
      </c>
      <c r="K24" s="1">
        <v>1058.24230876</v>
      </c>
      <c r="L24" s="1">
        <v>1021.82155886</v>
      </c>
      <c r="M24" s="1">
        <v>987.88255118300003</v>
      </c>
      <c r="N24" s="1">
        <v>951.79431012199996</v>
      </c>
      <c r="O24" s="1">
        <v>920.42608632999998</v>
      </c>
      <c r="P24" s="1">
        <v>888.67086142999995</v>
      </c>
      <c r="Q24" s="1">
        <v>859.51248128400005</v>
      </c>
    </row>
    <row r="25" spans="3:17" x14ac:dyDescent="0.3">
      <c r="C25" s="33"/>
      <c r="D25" s="1">
        <v>50</v>
      </c>
      <c r="E25" s="1">
        <v>1393.33251292</v>
      </c>
      <c r="F25" s="1">
        <v>1341.0737044099999</v>
      </c>
      <c r="G25" s="1">
        <v>1295.90499514</v>
      </c>
      <c r="H25" s="1">
        <v>1247.9859040199999</v>
      </c>
      <c r="I25" s="1">
        <v>1202.0774597</v>
      </c>
      <c r="J25" s="1">
        <v>1158.8901341999999</v>
      </c>
      <c r="K25" s="1">
        <v>1119.5853700600001</v>
      </c>
      <c r="L25" s="1">
        <v>1081.3155198300001</v>
      </c>
      <c r="M25" s="1">
        <v>1045.8767627</v>
      </c>
      <c r="N25" s="1">
        <v>1007.38555176</v>
      </c>
      <c r="O25" s="1">
        <v>974.34993352399999</v>
      </c>
      <c r="P25" s="1">
        <v>940.832226096</v>
      </c>
      <c r="Q25" s="1">
        <v>910.207574421</v>
      </c>
    </row>
    <row r="26" spans="3:17" x14ac:dyDescent="0.3">
      <c r="C26" s="33"/>
      <c r="D26" s="1">
        <v>55</v>
      </c>
      <c r="E26" s="1">
        <v>1470.8782452200001</v>
      </c>
      <c r="F26" s="1">
        <v>1416.10464477</v>
      </c>
      <c r="G26" s="1">
        <v>1368.6714052899999</v>
      </c>
      <c r="H26" s="1">
        <v>1318.08649722</v>
      </c>
      <c r="I26" s="1">
        <v>1269.8512536200001</v>
      </c>
      <c r="J26" s="1">
        <v>1224.4009682000001</v>
      </c>
      <c r="K26" s="1">
        <v>1182.8749422999999</v>
      </c>
      <c r="L26" s="1">
        <v>1142.6965503500001</v>
      </c>
      <c r="M26" s="1">
        <v>1105.7514519700001</v>
      </c>
      <c r="N26" s="1">
        <v>1064.7503818800001</v>
      </c>
      <c r="O26" s="1">
        <v>1029.99142514</v>
      </c>
      <c r="P26" s="1">
        <v>994.65140939800006</v>
      </c>
      <c r="Q26" s="1">
        <v>962.53923989299994</v>
      </c>
    </row>
  </sheetData>
  <mergeCells count="2">
    <mergeCell ref="C4:C26"/>
    <mergeCell ref="E2: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F9E81278D9EF4B93FEF4C39323CCC6" ma:contentTypeVersion="8" ma:contentTypeDescription="Crear nuevo documento." ma:contentTypeScope="" ma:versionID="d38d4e873b0ca087993d14d3aac6061a">
  <xsd:schema xmlns:xsd="http://www.w3.org/2001/XMLSchema" xmlns:xs="http://www.w3.org/2001/XMLSchema" xmlns:p="http://schemas.microsoft.com/office/2006/metadata/properties" xmlns:ns3="512ad970-e211-4551-badd-1c89141866b5" xmlns:ns4="39b51ea6-d3c9-44a5-b163-cfe7ba19310b" targetNamespace="http://schemas.microsoft.com/office/2006/metadata/properties" ma:root="true" ma:fieldsID="fa762bb2b5a0691e51bcffbca0591ac7" ns3:_="" ns4:_="">
    <xsd:import namespace="512ad970-e211-4551-badd-1c89141866b5"/>
    <xsd:import namespace="39b51ea6-d3c9-44a5-b163-cfe7ba19310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ad970-e211-4551-badd-1c89141866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1ea6-d3c9-44a5-b163-cfe7ba1931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2ad970-e211-4551-badd-1c89141866b5" xsi:nil="true"/>
  </documentManagement>
</p:properties>
</file>

<file path=customXml/itemProps1.xml><?xml version="1.0" encoding="utf-8"?>
<ds:datastoreItem xmlns:ds="http://schemas.openxmlformats.org/officeDocument/2006/customXml" ds:itemID="{95F7A6B3-DB27-494E-BB7D-DC3596891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2ad970-e211-4551-badd-1c89141866b5"/>
    <ds:schemaRef ds:uri="39b51ea6-d3c9-44a5-b163-cfe7ba1931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AEC049-C347-48F2-B1F0-D887F33D63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5B0A98-A092-40EB-8119-D5E48CC9D866}">
  <ds:schemaRefs>
    <ds:schemaRef ds:uri="http://www.w3.org/XML/1998/namespace"/>
    <ds:schemaRef ds:uri="http://purl.org/dc/dcmitype/"/>
    <ds:schemaRef ds:uri="39b51ea6-d3c9-44a5-b163-cfe7ba19310b"/>
    <ds:schemaRef ds:uri="512ad970-e211-4551-badd-1c89141866b5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Fuerza&amp;Drag</vt:lpstr>
      <vt:lpstr>Drag&amp;Vertical</vt:lpstr>
      <vt:lpstr>Predicts</vt:lpstr>
      <vt:lpstr>DRAG 600KMH</vt:lpstr>
      <vt:lpstr>FuerzaHEMS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Monta?ana Ferragud</dc:creator>
  <cp:lastModifiedBy>Miquel Monta?ana Ferragud</cp:lastModifiedBy>
  <dcterms:created xsi:type="dcterms:W3CDTF">2024-01-25T12:44:51Z</dcterms:created>
  <dcterms:modified xsi:type="dcterms:W3CDTF">2024-02-20T18:28:58Z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0x010100B4F9E81278D9EF4B93FEF4C39323CCC6</vt:lpwstr>
  </property>
</Properties>
</file>